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https://alsicorp-my.sharepoint.com/personal/osiris_moran_siman_com/Documents/elevate 2/"/>
    </mc:Choice>
  </mc:AlternateContent>
  <xr:revisionPtr revIDLastSave="133" documentId="13_ncr:1_{AD74628D-BE06-4FC1-BE04-2187DD70E9AC}" xr6:coauthVersionLast="47" xr6:coauthVersionMax="47" xr10:uidLastSave="{BEBFF822-34B7-44D9-A0BE-79E45B7A8F6E}"/>
  <bookViews>
    <workbookView xWindow="-120" yWindow="-120" windowWidth="29040" windowHeight="15720" firstSheet="2" activeTab="3" xr2:uid="{00000000-000D-0000-FFFF-FFFF00000000}"/>
  </bookViews>
  <sheets>
    <sheet name="Sheet2" sheetId="3" r:id="rId1"/>
    <sheet name="Sheet4" sheetId="6" r:id="rId2"/>
    <sheet name="Sheet1" sheetId="1" r:id="rId3"/>
    <sheet name="Hoja1" sheetId="2" r:id="rId4"/>
  </sheets>
  <definedNames>
    <definedName name="_xlnm._FilterDatabase" localSheetId="3" hidden="1">Hoja1!$A$1:$L$1138</definedName>
  </definedNames>
  <calcPr calcId="191028"/>
  <pivotCaches>
    <pivotCache cacheId="83" r:id="rId5"/>
    <pivotCache cacheId="8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2" i="2"/>
  <c r="B2" i="1"/>
  <c r="B3" i="1"/>
  <c r="B4" i="1"/>
  <c r="B5" i="1"/>
  <c r="B6" i="1"/>
  <c r="B7" i="1"/>
  <c r="B8" i="1"/>
  <c r="B9" i="1"/>
  <c r="B10" i="1"/>
  <c r="B11" i="1"/>
  <c r="B12" i="1"/>
</calcChain>
</file>

<file path=xl/sharedStrings.xml><?xml version="1.0" encoding="utf-8"?>
<sst xmlns="http://schemas.openxmlformats.org/spreadsheetml/2006/main" count="10527" uniqueCount="1565">
  <si>
    <t>Row Labels</t>
  </si>
  <si>
    <t>CR</t>
  </si>
  <si>
    <t>(blank)</t>
  </si>
  <si>
    <t>MASSIMO DUTTI ESCAZU</t>
  </si>
  <si>
    <t>STRADIVARIUS DEL ESTE</t>
  </si>
  <si>
    <t>GT</t>
  </si>
  <si>
    <t>MASSIMO DUTTI OAKLAND</t>
  </si>
  <si>
    <t>BERSHKA OAKLAND</t>
  </si>
  <si>
    <t>HO</t>
  </si>
  <si>
    <t>BERSHKA SAN PEDRO SULA</t>
  </si>
  <si>
    <t>BERSHKA TEGUCIGALPA</t>
  </si>
  <si>
    <t>SV</t>
  </si>
  <si>
    <t>BERSHKA LA GRAN VIA</t>
  </si>
  <si>
    <t>ZARA LA GRAN VIA</t>
  </si>
  <si>
    <t>Grand Total</t>
  </si>
  <si>
    <t>SELECCIONA EL PAÍS.</t>
  </si>
  <si>
    <t>Column Labels</t>
  </si>
  <si>
    <t>No</t>
  </si>
  <si>
    <t>Total Sum of Id</t>
  </si>
  <si>
    <t>Total Count of Comentarios sobre la bienvenida.</t>
  </si>
  <si>
    <t>Total Count of ¿Se presentó a su formador?</t>
  </si>
  <si>
    <t>Sum of Id</t>
  </si>
  <si>
    <t>Count of Comentarios sobre la bienvenida.</t>
  </si>
  <si>
    <t>Count of ¿Se presentó a su formador?</t>
  </si>
  <si>
    <t>Osiris Gabriel Moran Cuellar</t>
  </si>
  <si>
    <t>Id</t>
  </si>
  <si>
    <t>Column1</t>
  </si>
  <si>
    <t>Hora de inicio</t>
  </si>
  <si>
    <t>Hora de finalización</t>
  </si>
  <si>
    <t>Correo electrónico</t>
  </si>
  <si>
    <t>Nombre</t>
  </si>
  <si>
    <t>NOMBRE COMPLETO (ENCAGADO DE RH O RECLUTAMIENTO)</t>
  </si>
  <si>
    <t>ID DE COLABORADOR DEL EMPLEADO A ENTREVISTAR</t>
  </si>
  <si>
    <t>TIENDAS EN EL SALVADOR</t>
  </si>
  <si>
    <t>BERSHKA GALERIAS</t>
  </si>
  <si>
    <t>LA GRAN VIA</t>
  </si>
  <si>
    <t>OFICINAS CORPORATIVAS</t>
  </si>
  <si>
    <t>FLYING TIGER</t>
  </si>
  <si>
    <t>OYSHO LA GRAN VIA</t>
  </si>
  <si>
    <t>PACKING SV</t>
  </si>
  <si>
    <t>PULL AND BEAR GALERIAS</t>
  </si>
  <si>
    <t>PULL AND BEAR LA GRAN VIA</t>
  </si>
  <si>
    <t>STRAVARIUS GALERIAS</t>
  </si>
  <si>
    <t>STRADIVARIUS LA GRAN VIA</t>
  </si>
  <si>
    <t>SELECCIONA TU TIENDA EN GUATEMALA</t>
  </si>
  <si>
    <t>BSK MIRAFLORES</t>
  </si>
  <si>
    <t>BSK OAKLAND</t>
  </si>
  <si>
    <t>BSK PRADERA CONCEPCCIÓN</t>
  </si>
  <si>
    <t>OFICINAS CORPORATIVAS1</t>
  </si>
  <si>
    <t>MASSIMO DUTTI</t>
  </si>
  <si>
    <t>OYSHO OAKLAND</t>
  </si>
  <si>
    <t>PACKING GT</t>
  </si>
  <si>
    <t>PULL AND BEAR MIRAFLORES</t>
  </si>
  <si>
    <t>PULL AND BEAR OAKLAND</t>
  </si>
  <si>
    <t>PULL AND BEAR PRADERA CONCEPCIÓN</t>
  </si>
  <si>
    <t>STRADIVARIUS MIRAFLORES</t>
  </si>
  <si>
    <t>STRADIVARIUS OAKLAND</t>
  </si>
  <si>
    <t>STRADIVARIUS PRADERA CONCEPCIÓN</t>
  </si>
  <si>
    <t>ZARA HOME GT</t>
  </si>
  <si>
    <t>ZARA MIRAFLORES</t>
  </si>
  <si>
    <t>ZARA OAKLAND</t>
  </si>
  <si>
    <t>ZARA PRADERA CONCEPCIÓN</t>
  </si>
  <si>
    <t>SELECCIONA LA TIENDA EN HONDURAS</t>
  </si>
  <si>
    <t>BSK SAN PEDRO SULA</t>
  </si>
  <si>
    <t>BSK TEGUCIGALPA</t>
  </si>
  <si>
    <t>MASSIMO DUTTI TEGUCIGALPA</t>
  </si>
  <si>
    <t>OYSHO TEGUCIGALPA</t>
  </si>
  <si>
    <t>PULL AND BEAR SAN PEDRO SULA</t>
  </si>
  <si>
    <t>PULL AND BEAR TEGUCIGALPA</t>
  </si>
  <si>
    <t>STRADIVARIUS SAN PEDRO SULA</t>
  </si>
  <si>
    <t>STRADIVARIUS TEGUCIGALPA</t>
  </si>
  <si>
    <t>ZARA CITY MALL</t>
  </si>
  <si>
    <t>ZARA HOME TEGUCIGALPA</t>
  </si>
  <si>
    <t>ZARA TEGUCIGALPA</t>
  </si>
  <si>
    <t>SELECCIONA TU TIENDA EN NICARAGUA</t>
  </si>
  <si>
    <t>BSK SANTO DOMINGO</t>
  </si>
  <si>
    <t>PULL AND BEAR SANTO DOMINGO</t>
  </si>
  <si>
    <t>STRADIVARIUS SANTO DOMINGO</t>
  </si>
  <si>
    <t>ZARA SANTO DOMINGO</t>
  </si>
  <si>
    <t>SELECCIONA LA TIENDA DE COSTA RICA</t>
  </si>
  <si>
    <t>BERSHKA MULTIPLAZA DEL ESTE</t>
  </si>
  <si>
    <t>BSK MULTIPLAZA ESCAZU</t>
  </si>
  <si>
    <t>ZARA HOME COSTA RICA</t>
  </si>
  <si>
    <t>OFICINAS CR</t>
  </si>
  <si>
    <t>OYSHO ESCAZU</t>
  </si>
  <si>
    <t>PULL AND BEAR DEL ESTE</t>
  </si>
  <si>
    <t>PULL AND BEAR ESCAZU</t>
  </si>
  <si>
    <t>STRADIVARIUS ESCAZU</t>
  </si>
  <si>
    <t>ZARA DEL ESTE</t>
  </si>
  <si>
    <t>ZARA ESCAZU</t>
  </si>
  <si>
    <t>SELECCIONA EL CONTACTO</t>
  </si>
  <si>
    <t>ESCRIBE EL CODIGO DE COLABORADOR</t>
  </si>
  <si>
    <t>Se Sintió Bienvenido</t>
  </si>
  <si>
    <t>Comentarios sobre la bienvenida.</t>
  </si>
  <si>
    <t>¿Se presentó a su formador?</t>
  </si>
  <si>
    <t>Nombre del Formador</t>
  </si>
  <si>
    <t>Tiene cuenta de INET y su respectiva explicación.</t>
  </si>
  <si>
    <t>Que tal le pareció su induccion</t>
  </si>
  <si>
    <t>Comentarios sobre la inducción y/o adicionales </t>
  </si>
  <si>
    <t>FECHA DEL SEGUNDO CONTACTO</t>
  </si>
  <si>
    <t>ESCRIBE EL CÓDIGO DE COLABORADOR</t>
  </si>
  <si>
    <t>NOMBRE COMPLETO</t>
  </si>
  <si>
    <t>CODIGO DE COLABORADOR</t>
  </si>
  <si>
    <t>ENCARGADO DE LA TIENDA</t>
  </si>
  <si>
    <t>FECHA DE INGRESO</t>
  </si>
  <si>
    <t>DESEMPEÑO</t>
  </si>
  <si>
    <t>CUMPLE CON LAS ASIGNACIONES DE SU PUESTO</t>
  </si>
  <si>
    <t>JUSTICACIÓN</t>
  </si>
  <si>
    <t>FORMACIÓN</t>
  </si>
  <si>
    <t>COMENTARIOS</t>
  </si>
  <si>
    <t>FECHA ESTIMADA DE TERCER CONTACTO</t>
  </si>
  <si>
    <t>CÓDIGO DE COLABORADOR1</t>
  </si>
  <si>
    <t>CODIGO DE COLABORADOR1</t>
  </si>
  <si>
    <t>PUESTO</t>
  </si>
  <si>
    <t>¿Tu encargado te ha guiado adecuadamente?</t>
  </si>
  <si>
    <t>¿Te sientes integrado/a al equipo?</t>
  </si>
  <si>
    <t>¿Recomendarías trabajar aquí?</t>
  </si>
  <si>
    <t>Comentarios1</t>
  </si>
  <si>
    <t>MOTIVO DE LA BAJA</t>
  </si>
  <si>
    <t>Fecha de finalización de contrato</t>
  </si>
  <si>
    <t>Comentarios adicionales</t>
  </si>
  <si>
    <t>osiris_moran@siman.com</t>
  </si>
  <si>
    <t>CUELLAR RIVAS, OSCAR JOEL	5207601	DEPENDIENTE</t>
  </si>
  <si>
    <t>PRIMER CONTACTO</t>
  </si>
  <si>
    <t>23423</t>
  </si>
  <si>
    <t>342342</t>
  </si>
  <si>
    <t>Si</t>
  </si>
  <si>
    <t>32wewre</t>
  </si>
  <si>
    <t>werwe</t>
  </si>
  <si>
    <t>Regular</t>
  </si>
  <si>
    <t>werwer</t>
  </si>
  <si>
    <t>cindy_martinez@siman.com</t>
  </si>
  <si>
    <t>Cindy Johanna Martinez Betancourt</t>
  </si>
  <si>
    <t>Cindy Martinez</t>
  </si>
  <si>
    <t>1234</t>
  </si>
  <si>
    <t>Todo bien</t>
  </si>
  <si>
    <t>Juan Perez</t>
  </si>
  <si>
    <t>No aun no</t>
  </si>
  <si>
    <t>Excelente</t>
  </si>
  <si>
    <t>OSIRIS MORAN</t>
  </si>
  <si>
    <t>BARAHONA CABRERA, CLARISSA SARAI	DEPENDIENTE</t>
  </si>
  <si>
    <t>123</t>
  </si>
  <si>
    <t>no fue bienvenido solo lo mandaron a trabajar</t>
  </si>
  <si>
    <t>nombre de prueba</t>
  </si>
  <si>
    <t>no</t>
  </si>
  <si>
    <t>Muy Mala</t>
  </si>
  <si>
    <t>se adapto muy bien</t>
  </si>
  <si>
    <t>osiris moran</t>
  </si>
  <si>
    <t>VELASQUEZ ORELLANA, ERNESTO ENRIQUE	1284904	DEPENDIENTE</t>
  </si>
  <si>
    <t>SEGUNDO CONTACTO</t>
  </si>
  <si>
    <t>2323423</t>
  </si>
  <si>
    <t>ARSDSFG</t>
  </si>
  <si>
    <t>23123</t>
  </si>
  <si>
    <t>DFSDFSD</t>
  </si>
  <si>
    <t>ASDSDA</t>
  </si>
  <si>
    <t>DFSDFS</t>
  </si>
  <si>
    <t>lizeth_perez@siman.com</t>
  </si>
  <si>
    <t>Stephanie Lizeth Ballina Perez</t>
  </si>
  <si>
    <t>Stephanie Ballina Perez</t>
  </si>
  <si>
    <t>CORRALES RIVERA, KRISTEL DARIANA	2371703	DEPENDIENTE</t>
  </si>
  <si>
    <t>2371703</t>
  </si>
  <si>
    <t>Fue muy bonita, muy cálida, tuvieron mucho entendimiento ya que era nueva.</t>
  </si>
  <si>
    <t>Sayling Delgado</t>
  </si>
  <si>
    <t>si</t>
  </si>
  <si>
    <t>AGUILAR GONZALEZ, KIARA SOFIA	2499503	DEPENDIENTE</t>
  </si>
  <si>
    <t>Fue una bienvenida muy tranquila ya que me explicaron todo sobre la tienda y son muy atentas todas.</t>
  </si>
  <si>
    <t>Nicole Navarrete</t>
  </si>
  <si>
    <t>OSIRIS MORAN|</t>
  </si>
  <si>
    <t>CALDERON SANCHO, SCARLETTE PAOLA	2480703	DEPENDIENTE</t>
  </si>
  <si>
    <t>4444444</t>
  </si>
  <si>
    <t>4444</t>
  </si>
  <si>
    <t>SDFSDF</t>
  </si>
  <si>
    <t>qeqweq</t>
  </si>
  <si>
    <t>muy buena</t>
  </si>
  <si>
    <t>osiris moran1</t>
  </si>
  <si>
    <t>MENDEZ GARCIA, DAVID ALEJANDRO	2453406	SEGUNDO ENCARGADO</t>
  </si>
  <si>
    <t>TERCER CONTACTO</t>
  </si>
  <si>
    <t>ewerwe</t>
  </si>
  <si>
    <t>wet24</t>
  </si>
  <si>
    <t>etsda</t>
  </si>
  <si>
    <t>NO</t>
  </si>
  <si>
    <t>12</t>
  </si>
  <si>
    <t>3229106</t>
  </si>
  <si>
    <t>NAJERA PAREDES, DERICK JOSE ANDRES	3229106	AUXILIAR DE ALMACEN</t>
  </si>
  <si>
    <t xml:space="preserve">3229106 </t>
  </si>
  <si>
    <t>NOMBRE DE PRUEBA</t>
  </si>
  <si>
    <t>ENCARGADO DE PREUBA</t>
  </si>
  <si>
    <t>HOLA</t>
  </si>
  <si>
    <t>SI SI</t>
  </si>
  <si>
    <t>osiris</t>
  </si>
  <si>
    <t>2458003</t>
  </si>
  <si>
    <t>BERSHKA ESCAZU</t>
  </si>
  <si>
    <t>CASTRO AGUERO, ALEXA JIREH	2458003	DEPENDIENTE</t>
  </si>
  <si>
    <t>jiret</t>
  </si>
  <si>
    <t>no se</t>
  </si>
  <si>
    <t>hola</t>
  </si>
  <si>
    <t>casito</t>
  </si>
  <si>
    <t>PAIS</t>
  </si>
  <si>
    <t>EMPRESA</t>
  </si>
  <si>
    <t>NEGOCIO</t>
  </si>
  <si>
    <t>CENTRO COSTO</t>
  </si>
  <si>
    <t>UNIDAD</t>
  </si>
  <si>
    <t>LUGAR TRABAJO</t>
  </si>
  <si>
    <t>COLABORADOR</t>
  </si>
  <si>
    <t>ID COLABORADOR</t>
  </si>
  <si>
    <t>INGRESO</t>
  </si>
  <si>
    <t>RESPONSABLE UNIDAD</t>
  </si>
  <si>
    <t>PRIMER C</t>
  </si>
  <si>
    <t>Costa Rica</t>
  </si>
  <si>
    <t>JOVENMODA</t>
  </si>
  <si>
    <t>TIENDAS DE MODA</t>
  </si>
  <si>
    <t>GENERICO DE VENTAS PARA TIENDAS</t>
  </si>
  <si>
    <t>TIENDA BERSHKA DEL ESTE</t>
  </si>
  <si>
    <t>ABBOTT MUÑOZ, SOPHIA</t>
  </si>
  <si>
    <t>DEPENDIENTE</t>
  </si>
  <si>
    <t>DOMINGUEZ SALAZAR, BLAS ARTURO</t>
  </si>
  <si>
    <t>AJÚ CASTRO, MEYBEL ALEXA</t>
  </si>
  <si>
    <t>ARCHIBOLD LOPEZ, YOSANTIA BRITANY</t>
  </si>
  <si>
    <t>BADILLA MARIN, FLOR MARIA</t>
  </si>
  <si>
    <t>BLANCO BERMUDEZ, JOSE JULIAN</t>
  </si>
  <si>
    <t>AUXILIAR DE ALMACEN</t>
  </si>
  <si>
    <t>BUSTAMANTE SANCHEZ, JOSEPH JAVIER</t>
  </si>
  <si>
    <t>SEGUNDO ENCARGADO</t>
  </si>
  <si>
    <t>CHINCHILLA LOPEZ, DONALD DANIER</t>
  </si>
  <si>
    <t>GERENCIA DE PAIS FRANQUICIAS COSTA RICA</t>
  </si>
  <si>
    <t>ENCARGADO GENERAL DE TIENDA</t>
  </si>
  <si>
    <t>AYALA AYALA, JOSET DEL CARMEN</t>
  </si>
  <si>
    <t>LAGUNA VIDAURRE, DIEGO LEONEL</t>
  </si>
  <si>
    <t>MASIS JIMENEZ, LUIS FABIAN</t>
  </si>
  <si>
    <t>MOLINA CUBERO, JORGE ANDREY</t>
  </si>
  <si>
    <t>PALACIOS MATAMOROS, MANUEL FRANCISCO</t>
  </si>
  <si>
    <t>PINEDA MURILLO, NAYARA DESSYRETH</t>
  </si>
  <si>
    <t>PORTILLA RODRIGUEZ, SEBASTIAN JAYREL</t>
  </si>
  <si>
    <t>QUESADA AGÜERO, JUAN MIGUEL</t>
  </si>
  <si>
    <t>SALAS DAVILA, JOSE MANUEL</t>
  </si>
  <si>
    <t>SANCHO AMADOR, JIMENA</t>
  </si>
  <si>
    <t>UMAÑA MUÑOZ, SOFIA DE LOS ANGELES</t>
  </si>
  <si>
    <t>TIENDA BERSHKA ESCAZU</t>
  </si>
  <si>
    <t>BERSHKA MULTIPLAZA ESCAZU</t>
  </si>
  <si>
    <t>ALEMAN CHAVEZ, JONATHAN DAVID</t>
  </si>
  <si>
    <t>JEFE DE OPERACIONES</t>
  </si>
  <si>
    <t>ARRIETA VELASQUEZ, JEFFERSON ANDREY</t>
  </si>
  <si>
    <t>CALVO TIJERINO, FRANCELLA NATALIA</t>
  </si>
  <si>
    <t>TERCER ENCARGADO</t>
  </si>
  <si>
    <t>CARDOZA CHANG, DULCE MICHELLE</t>
  </si>
  <si>
    <t>CASTRO AGUERO, ALEXA JIREH</t>
  </si>
  <si>
    <t>CORDERO GOMEZ, SAMANTA</t>
  </si>
  <si>
    <t>FERNANDEZ SOLIS, DARIANA</t>
  </si>
  <si>
    <t>GARCIA MEDINA, NATALIA EUGENIA</t>
  </si>
  <si>
    <t>GARCIA SANDOVAL, ISAAC DANIEL</t>
  </si>
  <si>
    <t>GONZALEZ MADRIGAL, RICARDO JOSUE</t>
  </si>
  <si>
    <t>HERRERA TELLEZ, GUISELLA DAYANARA</t>
  </si>
  <si>
    <t>LOPEZ ARIAS, DAVID KALEB</t>
  </si>
  <si>
    <t>LOPEZ BERMUDEZ, MARY PAZ</t>
  </si>
  <si>
    <t>MENDEZ SANCHEZ, KATHY DANIELA</t>
  </si>
  <si>
    <t>MORA PIEDRA, KRISSAN REBECA</t>
  </si>
  <si>
    <t>PICADO PORTUGUEZ, CHRISTOPHER DE JESUS</t>
  </si>
  <si>
    <t>RAMIREZ CARMONA, JUNIOR JOSUE</t>
  </si>
  <si>
    <t>RIOS MORA, AMANDA SOFIA</t>
  </si>
  <si>
    <t>ROMAN GONZALEZ, JOSE PABLO</t>
  </si>
  <si>
    <t>SALAS RODRIGUEZ, WHESLEY DANIEL</t>
  </si>
  <si>
    <t>SANCHO BARAHONA, JEFFERSON MAURICIO</t>
  </si>
  <si>
    <t>URBINA MEMES, ANDY ALEJANDRO</t>
  </si>
  <si>
    <t>HAGAMODA</t>
  </si>
  <si>
    <t>TIENDA ZARA HOME CR</t>
  </si>
  <si>
    <t>HAGAMODA COSTA RICA</t>
  </si>
  <si>
    <t>ARTOLA VILLALOBOS, JOSELYN PATRICIA NICOLE</t>
  </si>
  <si>
    <t>BARQUERO CHAVES, JORGE EDUARDO</t>
  </si>
  <si>
    <t>CRUZ FRANK, DAYANA PATRICIA</t>
  </si>
  <si>
    <t>GARITA ARGUEDAS, KEILYN ALEXANDRA</t>
  </si>
  <si>
    <t>MATAMOROS MATAMOROS, MONSERRAT</t>
  </si>
  <si>
    <t>SOLIS AGUILERA, MARIELA NAOMY</t>
  </si>
  <si>
    <t>TURCIOS BALTODANO, HILLARY VALERIA</t>
  </si>
  <si>
    <t>VARGAS HERRERA, TIFFANY PAOLA</t>
  </si>
  <si>
    <t>INTERTIENDAS</t>
  </si>
  <si>
    <t>TIENDA MASSIMO DUTTI ESCAZU</t>
  </si>
  <si>
    <t>MASSIMO DUTTI MULTIPLAZA ESCAZU</t>
  </si>
  <si>
    <t>AGUILAR GONZALEZ, KIARA SOFIA</t>
  </si>
  <si>
    <t>MOLNAR ESTRADA, EDITH CRISTINA</t>
  </si>
  <si>
    <t>BARBOZA VEGA, RAQUEL GABRIELA</t>
  </si>
  <si>
    <t>CORRALES RIVERA, KRISTEL DARIANA</t>
  </si>
  <si>
    <t>DELGADO ULLOA, SAYLING SUSANA</t>
  </si>
  <si>
    <t>DUARTE RAMIREZ, BEYMI DANIELA</t>
  </si>
  <si>
    <t>GUTIERREZ SALAZAR, KELLY DANIELA</t>
  </si>
  <si>
    <t>MORALES DELGADO, LARISSA</t>
  </si>
  <si>
    <t>NAVARRETE ARTAVIA, NICOLE MARIANA</t>
  </si>
  <si>
    <t>IBEROMODA</t>
  </si>
  <si>
    <t>GENERICO GERENCIA</t>
  </si>
  <si>
    <t>GERENCIA ADMINISTRATIVA FRANQUICIA</t>
  </si>
  <si>
    <t>ALONSO ARBUROLA, MAURICIO</t>
  </si>
  <si>
    <t>SOPORTE TECNICO</t>
  </si>
  <si>
    <t>BERMUDEZ DIAZ, JOSHUA ROBERTO</t>
  </si>
  <si>
    <t>DIRECTOR DE TIENDAS JUNIOR</t>
  </si>
  <si>
    <t>PROMODA</t>
  </si>
  <si>
    <t>CAMBRONERO VALERDE, LEMUEL</t>
  </si>
  <si>
    <t>MENSAJERO</t>
  </si>
  <si>
    <t>DIAZ SOTO, MICHAEL ANTONIO</t>
  </si>
  <si>
    <t>TECNICO DE MANTENIMIENTO</t>
  </si>
  <si>
    <t>GAMEZ PEREZ, KEVIN</t>
  </si>
  <si>
    <t>ESCAPARATISTA</t>
  </si>
  <si>
    <t>GUTIERREZ SERRANO, JOSE PABLO</t>
  </si>
  <si>
    <t>AUXILIAR DE CONTROL DE INVENTARIOS</t>
  </si>
  <si>
    <t>HERRERA MADRIGAL, FABIOLA</t>
  </si>
  <si>
    <t>ESPECIALISTA DE RECURSOS HUMANOS</t>
  </si>
  <si>
    <t>HIDALGO RUIZ, MARIA JOSE</t>
  </si>
  <si>
    <t>TECNICO DE NOMINA</t>
  </si>
  <si>
    <t>CONTABILIDAD FRANQUICIAS 2</t>
  </si>
  <si>
    <t>LEITON ALVAREZ, HAWYLDHA</t>
  </si>
  <si>
    <t>ANALISTA CONTABLE</t>
  </si>
  <si>
    <t>CASTRO MATARRITA, JOSE ALONSO</t>
  </si>
  <si>
    <t>CONTABILIDAD FRANQUICIAS 1</t>
  </si>
  <si>
    <t>LOPEZ FERNANDEZ, GUISELLE PAOLA</t>
  </si>
  <si>
    <t>MARTINEZ ALVARADO, GISEL ELENA</t>
  </si>
  <si>
    <t>DIRECTOR COMERCIAL DE CADENA</t>
  </si>
  <si>
    <t>MEJIAS OBANDO, MONICA</t>
  </si>
  <si>
    <t>MORA MEDINA, MARIA FERNANDA</t>
  </si>
  <si>
    <t>AUXILIAR DE AUDITORIA DE VENTAS</t>
  </si>
  <si>
    <t>MORALES DELGADO, FIORELLA</t>
  </si>
  <si>
    <t>ASISTENTE DE GERENCIA</t>
  </si>
  <si>
    <t>POTOSME ALCOSER, JEAN PAUL</t>
  </si>
  <si>
    <t>RIVAS CUADRA, EUGENIA SOLANGE</t>
  </si>
  <si>
    <t>SOLANO JIMENEZ, JOSUE JESUS</t>
  </si>
  <si>
    <t>UMAÑA BLANDON, DEYSON JOSE</t>
  </si>
  <si>
    <t>ANALISTA DE ACTIVO FIJO</t>
  </si>
  <si>
    <t>EUROTIENDAS</t>
  </si>
  <si>
    <t>VIVAS GARCIA, JEISON</t>
  </si>
  <si>
    <t>DIRECTOR COMERCIAL DE CABALLERO</t>
  </si>
  <si>
    <t>ESPATIENDAS</t>
  </si>
  <si>
    <t>TIENDA OYSHO ESCAZU</t>
  </si>
  <si>
    <t>OYSHO MULTIPLAZA ESCAZU</t>
  </si>
  <si>
    <t>BALLADARES CHAMORRO, YORLENE YAOSKA</t>
  </si>
  <si>
    <t>PORRAS SALAZAR, LESLY MARIANA</t>
  </si>
  <si>
    <t>GUEVARA FONSECA, MAYRA VANESSA</t>
  </si>
  <si>
    <t>VISUAL</t>
  </si>
  <si>
    <t>SANCHEZ MOLINA, DONOVAN JAEL</t>
  </si>
  <si>
    <t>VENEGAS VASQUEZ, KAREN VIVIANA</t>
  </si>
  <si>
    <t>TIENDA PULL AND BEAR DEL ESTE</t>
  </si>
  <si>
    <t>PULL &amp; BEAR MULTIPLAZA DEL ESTE</t>
  </si>
  <si>
    <t>ABARCA MENA, ANGIE KARINA</t>
  </si>
  <si>
    <t>MADRIGAL MOREIRA, JOSE ZAIT</t>
  </si>
  <si>
    <t>ALFARO CHACON, JONATHAN ANDRES</t>
  </si>
  <si>
    <t>CASTILLO MORA, ALLISON JULIANA</t>
  </si>
  <si>
    <t>CHAVARRIA MESEN, ANTHONY</t>
  </si>
  <si>
    <t>IRIAS OBANDO, KATTIA VANESSA</t>
  </si>
  <si>
    <t>LOPEZ RANGEL, LUIS YADITH</t>
  </si>
  <si>
    <t>MARIN MADRIGAL, JOSHUA GABRIEL</t>
  </si>
  <si>
    <t>NUÑEZ CAMPOS, ANGEL GABRIEL</t>
  </si>
  <si>
    <t>PEREZ MORALES, DIEGO ALONSO</t>
  </si>
  <si>
    <t>RODRIGUEZ ARAYA, DYLAN JOSUE</t>
  </si>
  <si>
    <t>SEGURA CALVO, ARIADNA LUCIA</t>
  </si>
  <si>
    <t>URIARTE ESPINALES, ITHAN EDUARDO</t>
  </si>
  <si>
    <t>TIENDA PULL AND BEAR ESCAZU</t>
  </si>
  <si>
    <t>PULL &amp; BEAR MULTIPLAZA ESCAZU</t>
  </si>
  <si>
    <t>AGUILAR GUZMAN, SEBASTIAN DAVID</t>
  </si>
  <si>
    <t>CORDOBA MARTINEZ, WILLIAM GABRIEL</t>
  </si>
  <si>
    <t>ARIAS BARBOZA, TAHIRY ALONDRA</t>
  </si>
  <si>
    <t>ARIAS LOPEZ, LISETH ALEJANDRA</t>
  </si>
  <si>
    <t>CHACON RODRIGUEZ, CHERIDAN DAYAN</t>
  </si>
  <si>
    <t>CHAVARRIA BRIZUELA, RICARDO</t>
  </si>
  <si>
    <t>GARCIA MARTINEZ, CRISTOPHER GUSTAVO</t>
  </si>
  <si>
    <t>IRIAS MONTIEL, NESTOR MANRIQUE</t>
  </si>
  <si>
    <t>LEITON ALVAREZ, HABNER</t>
  </si>
  <si>
    <t>LEON ESCOBAR, CHELSY NICOLE</t>
  </si>
  <si>
    <t>MADRIGAL BRUNKER, SEBASTIAN</t>
  </si>
  <si>
    <t>MATAMOROS CASTRO, KENDALL</t>
  </si>
  <si>
    <t>OBANDO JIMENEZ, ANDREA NATALIA</t>
  </si>
  <si>
    <t>PEREZ MARIN, ABIGAIL DANIELA</t>
  </si>
  <si>
    <t>RAMIREZ ROBLES, ISAAC DAVID</t>
  </si>
  <si>
    <t>RIVERA ROJAS, RACHELL NAOMI</t>
  </si>
  <si>
    <t>SALAZAR LOPEZ, CINDY MASIEL</t>
  </si>
  <si>
    <t>SALAZAR SALAZAR, CHRISTIAN YAROL</t>
  </si>
  <si>
    <t>VASQUEZ VARGAS, SHARON DAYANA</t>
  </si>
  <si>
    <t>ZAMORA VALDIVIA, JIMENA</t>
  </si>
  <si>
    <t>TIENDA STRADIVARIUS DEL ESTE</t>
  </si>
  <si>
    <t>STRADIVARIUS MULTIPLAZA DEL ESTE</t>
  </si>
  <si>
    <t>ALVARADO PORRAS, KEVIN JOSUE</t>
  </si>
  <si>
    <t>VARGAS CAMPOS, DAYANA</t>
  </si>
  <si>
    <t>ARCE ABARCA, ANGELINY BELINDA</t>
  </si>
  <si>
    <t>CALDERON SANCHO, SCARLETTE PAOLA</t>
  </si>
  <si>
    <t>CHAVARRIA PEREZ, CRISTEL FRANCELLA</t>
  </si>
  <si>
    <t>ESPINOZA DIAZ, KEYTLI MARLIZ</t>
  </si>
  <si>
    <t>FERNANDEZ MORA, XIARA</t>
  </si>
  <si>
    <t>GAMBOA NUÑEZ, JOSEPH GABRIEL</t>
  </si>
  <si>
    <t>GARCIA URBINA, DILAN ELMIR</t>
  </si>
  <si>
    <t>GONZALEZ ARREOLA, JOHAN ANTONIO</t>
  </si>
  <si>
    <t>JARA MORALES, JOGEBETH ALANIS</t>
  </si>
  <si>
    <t>LOPEZ MARTINEZ, SHAMILA SOPHIA</t>
  </si>
  <si>
    <t>MARTINEZ TELLEZ, ESTHER SARAY</t>
  </si>
  <si>
    <t>MENA ESPINOZA, JOHAN JAVIER</t>
  </si>
  <si>
    <t>RODRIGUEZ CHEVEZ, JOSUE DANIEL</t>
  </si>
  <si>
    <t>ROJAS COTO, JOSE RUBEN</t>
  </si>
  <si>
    <t>ROSALES VARGAS, JARED GABRIEL</t>
  </si>
  <si>
    <t>TIENDA STRADIVARIUS ESCAZU</t>
  </si>
  <si>
    <t>STRADIVARIUS MULTIPLAZA ESCAZU</t>
  </si>
  <si>
    <t>ARIAS RODRIGUEZ, GABRIEL</t>
  </si>
  <si>
    <t>MONGE CORDERO, CINTHYA MARIA</t>
  </si>
  <si>
    <t>AVALOS CHACON, ANGELICA</t>
  </si>
  <si>
    <t>BUSTOS COREA, GENESIS JULIETH</t>
  </si>
  <si>
    <t>CASTILLO NUÑEZ, FABIOLA DE LOS ANGELES</t>
  </si>
  <si>
    <t>CHAVARRIA LOPEZ, JEFFERSON ISMAEL</t>
  </si>
  <si>
    <t>CORDERO HERRERA, DIANA VALERIA</t>
  </si>
  <si>
    <t>ESPINOZA MILLON, RONALD JOSUE</t>
  </si>
  <si>
    <t>GIMENEZ AGUILERA, ANDY YESEL</t>
  </si>
  <si>
    <t>GONZALEZ LAZO, ROBERTO JOSE</t>
  </si>
  <si>
    <t>GONZALEZ LOPEZ, DAYANA</t>
  </si>
  <si>
    <t>LOPEZ CASTILLO, MICHELLE ALEXA</t>
  </si>
  <si>
    <t>ORTEGA RODRIGUEZ, SAMANTHA</t>
  </si>
  <si>
    <t>PEREZ HERNANDEZ, ANDREW JOSHUA</t>
  </si>
  <si>
    <t>ROSALES HIDALGO, JULISSA DE LOS ANGELES</t>
  </si>
  <si>
    <t>SANCHEZ MORA, LEONARDO</t>
  </si>
  <si>
    <t>SANTAMARIA VALLECILLO, TIFFANY MICHELLE</t>
  </si>
  <si>
    <t>SANTANA COREA, KATHERINE ISABEL</t>
  </si>
  <si>
    <t>SOLANO BRENES, YANCY MARIA</t>
  </si>
  <si>
    <t>TORRES SALAZAR, MICHELLE</t>
  </si>
  <si>
    <t>UMAÑA MADRIGAL, EMMANUEL ALBERTO</t>
  </si>
  <si>
    <t>TIENDA ZARA EL ESTE</t>
  </si>
  <si>
    <t>ZARA MULTIPLAZA DEL ESTE</t>
  </si>
  <si>
    <t>ALFARO MARIN, FERNANDO</t>
  </si>
  <si>
    <t>TREJOS MONGE, NICOLE REBECA</t>
  </si>
  <si>
    <t>ASTORGA ARAYA, BRIANA LUCIA</t>
  </si>
  <si>
    <t>BADILLA CRUZ, MARIANA</t>
  </si>
  <si>
    <t>BAEZ, EXEL JOSE</t>
  </si>
  <si>
    <t>VISUAL ZARA</t>
  </si>
  <si>
    <t>BLANCO BERMUDEZ, MONSERRAT</t>
  </si>
  <si>
    <t>VISUAL ZARA I</t>
  </si>
  <si>
    <t>BOLAÑOS PORRAS, BRAYAN ANTHONY</t>
  </si>
  <si>
    <t>BRAVO ARAGON, JOSEPH GARNETD</t>
  </si>
  <si>
    <t>CALDERON VINDAS, ANITA YAQUELIN</t>
  </si>
  <si>
    <t>CAMACHO BENAVIDES, JIMENA ANDREA</t>
  </si>
  <si>
    <t>TIENDAS VIRTUALES</t>
  </si>
  <si>
    <t>CAMPOS CISNERO, JORMAN JOSE</t>
  </si>
  <si>
    <t>CASTILLO ALEMAN, SEBASTIAN ALONSO</t>
  </si>
  <si>
    <t>CHAVARRIA LOPEZ, STEPHANY DE LOS ANGELES</t>
  </si>
  <si>
    <t>CORRALES ALFARO, VICTOR MARIO</t>
  </si>
  <si>
    <t>DAVILA ROSALES, JOSHUA DAVID</t>
  </si>
  <si>
    <t>DELGADO ZUÑIGA, ARIANA MARIA</t>
  </si>
  <si>
    <t>DELIYORE VALVERDE, GEICOB OMAR</t>
  </si>
  <si>
    <t>ELIZONDO DURAN, DIANA</t>
  </si>
  <si>
    <t>ESPINOZA HERNANDEZ, ANGELES MARIA</t>
  </si>
  <si>
    <t>GAMBOA BADILLA, ISAAC GERARDO</t>
  </si>
  <si>
    <t>GARCIA BALMACEDA, WILLIAM FABRICIO</t>
  </si>
  <si>
    <t>GIL AQUINO, CESAR OSVALDO</t>
  </si>
  <si>
    <t>GOMEZ CAMPOS, JOSE MATIAS</t>
  </si>
  <si>
    <t>GONZALEZ HERRERA, JOSE MANUEL</t>
  </si>
  <si>
    <t>LEANDRO PEREZ, ALVARO ANTONIO</t>
  </si>
  <si>
    <t>LEANDRO SANCHEZ, DIANA</t>
  </si>
  <si>
    <t>LOPEZ UMAÑA, ROY JOSUE</t>
  </si>
  <si>
    <t>MARIN MUÑOZ, DANIELA</t>
  </si>
  <si>
    <t>MORA SEQUEIRA, GERALD ESTIVEN</t>
  </si>
  <si>
    <t>MUÑOZ ANGULO, MEZTLI TANIA</t>
  </si>
  <si>
    <t>OBANDO VARGAS, DIEGO ANDREY</t>
  </si>
  <si>
    <t>OSPINA BENAVIDES, CATALINA</t>
  </si>
  <si>
    <t>OTAROLA CASTRO, YULIANNA DE LOS ANGELES</t>
  </si>
  <si>
    <t>PANIAGUA MADRIZ, CHEYLA BRILLIT</t>
  </si>
  <si>
    <t>RAMIREZ DIAZ, MAITE NAZARETH</t>
  </si>
  <si>
    <t>RAMIREZ RAMIREZ, ILIANA CAROLINA</t>
  </si>
  <si>
    <t>REYES GRATEROL, VALENTINA</t>
  </si>
  <si>
    <t>RODRIGUEZ CHEVEZ, JEFFRY ADONYS</t>
  </si>
  <si>
    <t>ENCARGADO(A) DE SECCION CABALLERO</t>
  </si>
  <si>
    <t>ROJAS MONGE, JIMENA</t>
  </si>
  <si>
    <t>ROJAS ZAMORA, JIMMY ANDRES</t>
  </si>
  <si>
    <t>SERRANO ANDINO, GERARDO ANDRES</t>
  </si>
  <si>
    <t>SOTO RODRIGUEZ, CHELSEA DAYAN</t>
  </si>
  <si>
    <t>TASSARA FLORES, MARIA FERNANDA</t>
  </si>
  <si>
    <t>TORRES PACHECO, DAVID</t>
  </si>
  <si>
    <t>DIRECTOR(A) DE TIENDAS</t>
  </si>
  <si>
    <t>URBINA OBANDO, JAYLING JAHAIRA</t>
  </si>
  <si>
    <t>TIENDA ZARA ESCAZU</t>
  </si>
  <si>
    <t>ZARA MULTIPLAZA ESCAZU</t>
  </si>
  <si>
    <t>ACEVEDO ESCOBAR, JOSE AMILCAR</t>
  </si>
  <si>
    <t>NAVARRETE MORALES, DIANA KAROLINA</t>
  </si>
  <si>
    <t>ALEMAN CHAVEZ, HAZEL ANIELKA</t>
  </si>
  <si>
    <t>ARAYA SIBAJA, ANDY DANIEL</t>
  </si>
  <si>
    <t>ARCE PERALTA, MARIA DE LOS ANGELES</t>
  </si>
  <si>
    <t>ARRIETA ROBLES, WARREN DAVID</t>
  </si>
  <si>
    <t>GENERALISTA  DE RECURSOS HUMANOS</t>
  </si>
  <si>
    <t>BALLADARES CHAMORRO, BRANDON STEVEN</t>
  </si>
  <si>
    <t>BALLINA PEREZ, STEPHANIE LIZETH</t>
  </si>
  <si>
    <t>ASISTENTE DE RECURSOS HUMANOS</t>
  </si>
  <si>
    <t>BALTODANO ALVAREZ, HELLEN VANESSA</t>
  </si>
  <si>
    <t>BARRIOS BLANCO, LUIS ANDRES</t>
  </si>
  <si>
    <t>BUSTAMANTE ZELEDON, JOSBELL MERCEDES</t>
  </si>
  <si>
    <t>BUSTOS LOPEZ, ANGELIN YAENGEL</t>
  </si>
  <si>
    <t>CAMPOS HERNANDEZ, FIORELLA ALEJANDRA</t>
  </si>
  <si>
    <t>CAMPOS MONGE, BRAYTHON</t>
  </si>
  <si>
    <t>CARVAJAL SANCHEZ, MARIA FERNANDA</t>
  </si>
  <si>
    <t>CASTILLO LARA, MARIA FERNANDA</t>
  </si>
  <si>
    <t>CASTILLO REYES, IAN</t>
  </si>
  <si>
    <t>CONTADOR GENERAL</t>
  </si>
  <si>
    <t>CESPEDES MORALES, EDUARDO ANDRES</t>
  </si>
  <si>
    <t>RESPONSABLE DE PAKING STORE</t>
  </si>
  <si>
    <t>CONTRERAS MOSCOA, SASHI</t>
  </si>
  <si>
    <t>CONTRERAS VARGAS, JEAN POOL</t>
  </si>
  <si>
    <t>CORTES MUÑOZ, EYDERSON JAVIER</t>
  </si>
  <si>
    <t>CRUZ DAVILA, JOHN STEVEN</t>
  </si>
  <si>
    <t>CRUZ VASQUEZ, CARMEN ANA JULIA</t>
  </si>
  <si>
    <t>DELGADO PACHECO, ISABEL CRISTINA</t>
  </si>
  <si>
    <t>DUARTE LOPEZ, ALISON NICOLE</t>
  </si>
  <si>
    <t>ELIZONDO MONGE, KEVIN</t>
  </si>
  <si>
    <t>FLORES CHEVEZ, JEREMY OMAR</t>
  </si>
  <si>
    <t>FUENTES PEREZ, NATASHA VALERIA</t>
  </si>
  <si>
    <t>GARCIA DELGADILLO, ALVARO JOSE</t>
  </si>
  <si>
    <t>ENCARGADO DE SECCION</t>
  </si>
  <si>
    <t>GARCIA JIMENEZ, STEVEN DAVID</t>
  </si>
  <si>
    <t>GOMEZ ABURTO, CATALINA</t>
  </si>
  <si>
    <t>GONZALEZ JIMENEZ, NIKI DANIELA</t>
  </si>
  <si>
    <t>GONZALEZ MOLINA, MELVIN ANDREY</t>
  </si>
  <si>
    <t>RESPONSABLE DE SECCION</t>
  </si>
  <si>
    <t>GONZALEZ SEGURA, BRANDON GERARDO</t>
  </si>
  <si>
    <t>GRANADOS RIVERA, PAULO</t>
  </si>
  <si>
    <t>RESPONSABLE AMT PAIS</t>
  </si>
  <si>
    <t>GUEVARA ZUÑIGA, KEVIN EDUARDO</t>
  </si>
  <si>
    <t>GUZMAN DELGADO, SARA</t>
  </si>
  <si>
    <t>HERNANDEZ CASTILLO, HILLARI ANDREA</t>
  </si>
  <si>
    <t>HERRERA JIMENEZ, BRYAN</t>
  </si>
  <si>
    <t>JUAREZ COTO, BRITANY MARIA</t>
  </si>
  <si>
    <t>KINDERSON GUZMAN, DEIMY LISENIA</t>
  </si>
  <si>
    <t>LEON DELGADO, STEPHANIE NICOLE</t>
  </si>
  <si>
    <t>MADRIGAL ORTIZ, LUZANIA ALEJANDRA</t>
  </si>
  <si>
    <t>MADRIGAL VARGAS, JOHN KENNETH</t>
  </si>
  <si>
    <t>MARIN SANDI, ANDY TOBIAS</t>
  </si>
  <si>
    <t>MARTINEZ MORRIS, FIORELLA</t>
  </si>
  <si>
    <t>MARTINEZ RIVAS, ALEXA MELINA</t>
  </si>
  <si>
    <t>MATUTE CALVO, ISIS NICOL</t>
  </si>
  <si>
    <t>MENDEZ SALAZAR, GABRIEL</t>
  </si>
  <si>
    <t>MIRANDA ELIZONDO, SAUL GABRIEL</t>
  </si>
  <si>
    <t>MONTERO CAMPOS, CRISTOFER JAFET</t>
  </si>
  <si>
    <t>MORA MADRIGAL, WINSTON SEBASTIAN</t>
  </si>
  <si>
    <t>MOSQUERA LEUDO, JOSE ALEXANDER</t>
  </si>
  <si>
    <t>OBANDO VARGAS, ADRIAN DAVID</t>
  </si>
  <si>
    <t>OROSCO FLORES, YEIMY</t>
  </si>
  <si>
    <t>ORTEGA FERNANDEZ, DAVID</t>
  </si>
  <si>
    <t>PECHTEL GUDIEL, JIMENA</t>
  </si>
  <si>
    <t>PELAYO DIAZ, DIEGO STEVEN</t>
  </si>
  <si>
    <t>QUIROS FALLAS, GABRIELLE</t>
  </si>
  <si>
    <t>RANGEL ARAYA, ISIS SHAIEL</t>
  </si>
  <si>
    <t>RODRIGUEZ CHINCHILLA, SAMANTHA</t>
  </si>
  <si>
    <t>ROJAS GUERRERO, LUIS DAVID</t>
  </si>
  <si>
    <t>ROJAS NUÑEZ, GABRIEL ASDRUBAL</t>
  </si>
  <si>
    <t>ROJAS RUIZ, DANIEL JESUS</t>
  </si>
  <si>
    <t>RUEDA VARGAS, JENNIFER DANIELA</t>
  </si>
  <si>
    <t>SALAZAR ESPINOZA, WENDY PAMELA</t>
  </si>
  <si>
    <t>SANCHEZ CASTRO, RAQUEL JOSEBETH</t>
  </si>
  <si>
    <t>SANTANA RETANA, VIVIANA ALEXANDRA</t>
  </si>
  <si>
    <t>SOBALVARRO ESCOBAR, CLAUDIA ELENA</t>
  </si>
  <si>
    <t>SOLIS IBARRA, ALANNYS</t>
  </si>
  <si>
    <t>SOTO AGUERO, OLMAN FRANCISCO</t>
  </si>
  <si>
    <t>ENCARGADO(A) SECCION SEÑORA</t>
  </si>
  <si>
    <t>TORRES ESPINOZA, DANIEL DAVID</t>
  </si>
  <si>
    <t>VARGAS CORONADO, ANTHONY DANIEL</t>
  </si>
  <si>
    <t>ZAVALA PICADO, JAFETH JOSUE</t>
  </si>
  <si>
    <t>ZELEDON CALDERÓN, DAYANA VANESSA</t>
  </si>
  <si>
    <t>El Salvador</t>
  </si>
  <si>
    <t>TIENDA OYSHO LA GRAN VIA</t>
  </si>
  <si>
    <t>BARRIOS CACERES, DANIELA ALEJANDRA</t>
  </si>
  <si>
    <t>LOVO GUEVARA, JUAN CARLOS</t>
  </si>
  <si>
    <t>SOLIS TAURA, SARA REBECA</t>
  </si>
  <si>
    <t>PRESIDENCIA EJECUTIVA FRANQUICIAS</t>
  </si>
  <si>
    <t>PULL &amp; BEAR GALERIAS</t>
  </si>
  <si>
    <t>AVENDAÑO OSORIO, ANTONIO</t>
  </si>
  <si>
    <t>GERENTE DE SISTEMAS</t>
  </si>
  <si>
    <t>PORTILLO SISNIEGA, PABLO EDGARDO</t>
  </si>
  <si>
    <t>PROMODA STRADIVARIUS GALERIAS</t>
  </si>
  <si>
    <t>AVILA MENDEZ, EDUARDO</t>
  </si>
  <si>
    <t>ANALISTA DE NEGOCIO</t>
  </si>
  <si>
    <t>EUROMODA</t>
  </si>
  <si>
    <t>TIENDA ZARA LA GRAN VIA</t>
  </si>
  <si>
    <t>EUROMODA ZARA LA GRA VIA</t>
  </si>
  <si>
    <t>AGUILAR GARCIA, EMELY SABRINA</t>
  </si>
  <si>
    <t>SANTOS DELGADO, PATRICIA ELIZABET</t>
  </si>
  <si>
    <t>GERENCIA DE OBRAS Y MANTENIMIENTO FRANQUICIAS</t>
  </si>
  <si>
    <t>AYALA CHACON, HECTOR ENRIQUE</t>
  </si>
  <si>
    <t>SUPERVISOR DE MANTENIMIENTO</t>
  </si>
  <si>
    <t>CHAVEZ HERNANDEZ, ARMANDO RENE</t>
  </si>
  <si>
    <t>COTAN VALDEZ, GERMAN EDENILSON</t>
  </si>
  <si>
    <t>RESPONSABLE DE PACKING STORE</t>
  </si>
  <si>
    <t>BUCARO SALVADOR, SANDRA CAROLINA</t>
  </si>
  <si>
    <t>AGUILLON CASTILLO, JACQUELINE ESTHER</t>
  </si>
  <si>
    <t>ALVARADO MELARA, LISBETH GABRIELA</t>
  </si>
  <si>
    <t>AREVALO BLANCO, ROBERTO CHRISTOPHER</t>
  </si>
  <si>
    <t>ARGUETA GONZALEZ, ILEANA</t>
  </si>
  <si>
    <t>BARRERA RAMIRIOS, DANIELA TAMARA</t>
  </si>
  <si>
    <t>BARRIENTOS VALENZUELA, DANIELA ALEXANDRA</t>
  </si>
  <si>
    <t>CABRERA ORELLANA, FRANCISCO JOSE</t>
  </si>
  <si>
    <t>CABRERA PATIÑO, WINSTON ALEXANDER</t>
  </si>
  <si>
    <t>CANDELARIO CASTRO, GEORGINA ELIZABETH</t>
  </si>
  <si>
    <t>GERENCIA DE SISTEMAS FRANQUICIAS</t>
  </si>
  <si>
    <t>EUROMODA ZARA GALERIAS</t>
  </si>
  <si>
    <t>CARDOZA SALGUERO, KATYA VANESSA</t>
  </si>
  <si>
    <t>ADMINISTRADOR DE APLICACIONES</t>
  </si>
  <si>
    <t>CANJURA RIVERA, WALTER ENRIQUE</t>
  </si>
  <si>
    <t>CAÑAS RAMOS, JOSE MILTON</t>
  </si>
  <si>
    <t>CARRERO HERNANDEZ, GABRIEL ALESSANDRO</t>
  </si>
  <si>
    <t>CARRILLO SORIANO, FATIMA MARIA</t>
  </si>
  <si>
    <t>CHAVARRIA GUZMAN, JOSE DANIEL</t>
  </si>
  <si>
    <t>CUELLAR ABREGO, XOCHILT MAYARI</t>
  </si>
  <si>
    <t>CUELLAR RIVAS, OSCAR JOEL</t>
  </si>
  <si>
    <t>ESCAMILLA JOVEL, CHELSEA GUISELLE</t>
  </si>
  <si>
    <t>FUENTES ARRUE, ANDREA NICOL</t>
  </si>
  <si>
    <t>GARCIA PINEDA, LUIS ENRIQUE</t>
  </si>
  <si>
    <t>GONZALEZ DIAZ, OSCAR ANTONIO</t>
  </si>
  <si>
    <t>VALDEZ MOLINA, ISAAC ENRIQUE</t>
  </si>
  <si>
    <t>INFANTE TRUJILLO, DANIELA MARIA</t>
  </si>
  <si>
    <t>LARA DRIOTES, VALERIA VALENTINA</t>
  </si>
  <si>
    <t>MARROQUIN SANTOS, RUTH SARAI</t>
  </si>
  <si>
    <t>MARTINEZ GARCIA, BRYAN ALEXANDER</t>
  </si>
  <si>
    <t>MEJIA ANDRADE, RODRIGO NOE</t>
  </si>
  <si>
    <t>MEJIA TEJADA, EDWIN ALESSANDRO</t>
  </si>
  <si>
    <t>MELARA PEREZ, VANESSA EUNICE</t>
  </si>
  <si>
    <t>CONTABILIDAD CORPORATIVA FRANQUICIAS</t>
  </si>
  <si>
    <t>CARRILLO MARTINEZ, MARIO ERNESTO</t>
  </si>
  <si>
    <t>VIVAS APARICIO, SILVIA ELENA</t>
  </si>
  <si>
    <t>MELENDEZ LEMUS, SARA RAQUEL</t>
  </si>
  <si>
    <t>MENA ALFARO, DOUGLAS DANIEL</t>
  </si>
  <si>
    <t>MORAN MARTINEZ, HILDA CECIBEL</t>
  </si>
  <si>
    <t>ORELLANA PALACIO, MELANIE ABIGAIL</t>
  </si>
  <si>
    <t>PARADA GOMEZ, DANIELA ALEJANDRA</t>
  </si>
  <si>
    <t>CAJERO CENTRAL</t>
  </si>
  <si>
    <t>PONCE BARILLAS, GENESIS NICOLE</t>
  </si>
  <si>
    <t>PORTILLO ZELAYA, MARIA JOSE</t>
  </si>
  <si>
    <t>RAMIREZ MORALES, KARLYN IVETH</t>
  </si>
  <si>
    <t>GERENCIA DE INVENTARIOS FRANQUICIAS</t>
  </si>
  <si>
    <t>CARRILLO SORIANO, ERIKA CAROLINA</t>
  </si>
  <si>
    <t>RESPONSABLE AMT FRANQUICIAS</t>
  </si>
  <si>
    <t>RIVERA RIVAS, SILVIA MARIA</t>
  </si>
  <si>
    <t>CASTILLO RAMOS, SALVADOR ANTONIO</t>
  </si>
  <si>
    <t>GERENCIA DE IMPORTACIONES FRANQUICIAS</t>
  </si>
  <si>
    <t>CESPER GARCIA, CESAR ERNESTO</t>
  </si>
  <si>
    <t>AUXILIAR DE IMPORTACIONES</t>
  </si>
  <si>
    <t>RIVAS LOPEZ, LIZETH EUNICE</t>
  </si>
  <si>
    <t>RAMOS BARAHONA, BRAYAN ALEXANDER</t>
  </si>
  <si>
    <t>RIVERA LANDAVERDE, MICHELLE BEATRIZ</t>
  </si>
  <si>
    <t>RUIZ OLIVA, GABRIELA MICHELLE</t>
  </si>
  <si>
    <t>GERENCIA DE RECURSOS HUMANOS FRANQUICIAS</t>
  </si>
  <si>
    <t>DIRECTOR DE TIENDAS</t>
  </si>
  <si>
    <t>LINARES RAMOS, DALIDE MARCELLA</t>
  </si>
  <si>
    <t>GERENTE CORPORATIVO DE OBRAS Y MANTENIMIENTO</t>
  </si>
  <si>
    <t>SERRANO LOPEZ, CESAR ALEXANDER</t>
  </si>
  <si>
    <t>ENCARGADO DE OPERACIONES ZARA</t>
  </si>
  <si>
    <t>VALLADARES CARCAMO, KEVIN ALEJANDRO</t>
  </si>
  <si>
    <t>CHAVEZ TREJO, MIRIAM LOURDES</t>
  </si>
  <si>
    <t>VASQUEZ MENDEZ, MAURICIO JOEL</t>
  </si>
  <si>
    <t>VASQUEZ PORTILLO, KRISIA MARISOL</t>
  </si>
  <si>
    <t>VENTURA ZELAYA, CESAR ALEJANDRO</t>
  </si>
  <si>
    <t>VILLALTA NERIO, VALERIE NICOLE</t>
  </si>
  <si>
    <t>CUBIAS HERNANDEZ, HUMBERTO JOSUE</t>
  </si>
  <si>
    <t xml:space="preserve">DE LA CRUZ TORRES, SANTIAGO ALEJANDRO </t>
  </si>
  <si>
    <t>FLORES HERNANDEZ, GABRIELA ALEJANDRA</t>
  </si>
  <si>
    <t>PULL &amp; BEAR LA GRAN VIA</t>
  </si>
  <si>
    <t>GARCIA PERDIDO, EDWIN ENRIQUE</t>
  </si>
  <si>
    <t>INGENIERO DE DESARROLLO</t>
  </si>
  <si>
    <t>DIRECCION  DE RECURSOS HUMANOS FRANQUICIAS</t>
  </si>
  <si>
    <t xml:space="preserve">GOMEZ VILLACORTA , ANA MARIA </t>
  </si>
  <si>
    <t>OPERADOR CCTV</t>
  </si>
  <si>
    <t>GUERRERO MEDRANO, ROXANA LIZETH</t>
  </si>
  <si>
    <t>GONZALEZ HERNANDEZ, SANDRA JEANNETTE</t>
  </si>
  <si>
    <t>ESCAPARATISTA CORPORATIVO</t>
  </si>
  <si>
    <t>DIRECTORA DE RECURSOS HUMANOS FRANQUICIAS</t>
  </si>
  <si>
    <t>HENRIQUEZ CALDERON, KATHERINE MARCELA</t>
  </si>
  <si>
    <t>HENRIQUEZ CALDERON, PATRICIA IDALIA</t>
  </si>
  <si>
    <t>COORDINADOR DE CONTROL DE INVENTARIOS</t>
  </si>
  <si>
    <t>HERNANDEZ VINDEL, FATIMA ANDREA</t>
  </si>
  <si>
    <t>TIENDA PULL AND BEAR LA GRAN VIA</t>
  </si>
  <si>
    <t>TAMACAS CHIQUILLO, MARCELO ENRIQUE</t>
  </si>
  <si>
    <t>ESTRADA ESCOBAR, FRANKLIN ENRIQUE</t>
  </si>
  <si>
    <t>TIENDA PULL AND BEAR GALERIAS</t>
  </si>
  <si>
    <t>ALEMAN MEJIA, EMMANUEL ALEJANDRO</t>
  </si>
  <si>
    <t>LOPEZ RIOS, MELISSA GABRIELA</t>
  </si>
  <si>
    <t>HIDALGO RIVERA, NESTOR FRANCISCO</t>
  </si>
  <si>
    <t>GERENTE CORPORATIVO DE MANTENIMIENTO</t>
  </si>
  <si>
    <t>GENERALISTA DE RECURSOS HUMANOS</t>
  </si>
  <si>
    <t>LOPEZ ALFARO, CARLOS JAIRO</t>
  </si>
  <si>
    <t>LOPEZ MARTINEZ, ALVARO ERNESTO</t>
  </si>
  <si>
    <t>ANALISTA FINANCIERO</t>
  </si>
  <si>
    <t>VANEGAS MONTES, MARIA GABRIELA</t>
  </si>
  <si>
    <t>HERNANDEZ ESCOBAR, MARIA JOSE</t>
  </si>
  <si>
    <t>MARTINEZ RIVAS, MOISES ERNESTO</t>
  </si>
  <si>
    <t>SANCHEZ MARTINEZ, DIEGO BLADIMIR</t>
  </si>
  <si>
    <t>LOPEZ MOLINA, HENRY ALEXANDER</t>
  </si>
  <si>
    <t>MEJIA CANJURA, DANIELA ISABEL</t>
  </si>
  <si>
    <t>PADILLA MELENDEZ, MARJORIE MICHELLE</t>
  </si>
  <si>
    <t>LOPEZ PALACIOS, YESSENIA BETSAIDA</t>
  </si>
  <si>
    <t>MEJIA SANCHEZ, LUCERO ANABEL</t>
  </si>
  <si>
    <t>MEJIA VALLE, JORGE DAVID</t>
  </si>
  <si>
    <t>INGENIERO DE PRUEBAS</t>
  </si>
  <si>
    <t>GARCIA MARTINEZ, DANIELLA ALEJANDRA</t>
  </si>
  <si>
    <t>MELGAR PINTO, MARIA DE LOS ANGELES</t>
  </si>
  <si>
    <t>MENDEZ MUÑOZ, JUNIOR ADIEL</t>
  </si>
  <si>
    <t>AUXILIAR DE MANTENIMIENTO</t>
  </si>
  <si>
    <t>MEJIA MEJIA, JOSE SERAFIN</t>
  </si>
  <si>
    <t>JEFE DE ALMACEN</t>
  </si>
  <si>
    <t>LOPEZ LECHUGA, SAMUEL ALESSANDRO</t>
  </si>
  <si>
    <t>VALENCIA GALAN, ERNESTO ALEJANDRO</t>
  </si>
  <si>
    <t>MENDOZA REYES, LUIS JAVIER</t>
  </si>
  <si>
    <t>PAZ ROMERO, KRISSIA NICOLE</t>
  </si>
  <si>
    <t>MARTINEZ EUCEDA, FERNANDO VIDAL</t>
  </si>
  <si>
    <t>VISCARRA AQUINO, KEVIN BRYAN</t>
  </si>
  <si>
    <t>MENJIVAR QUINTANILLA, JOSE HERIBERTO</t>
  </si>
  <si>
    <t>JEFE CORPORATIVO DE PREVENCION Y SALUD OCUPACIONAL</t>
  </si>
  <si>
    <t>TIENDA BERSHKA LA GRAN VIA</t>
  </si>
  <si>
    <t>BERSHKA LA GRA VIA</t>
  </si>
  <si>
    <t>FUENTES RIVAS, JOSE ANTONIO</t>
  </si>
  <si>
    <t>MOLINA DE ALAS, ALMA LISSETH</t>
  </si>
  <si>
    <t>DERAS SALINAS, KEYRI ARIANA</t>
  </si>
  <si>
    <t>TIENDA BERSHKA GALERIAS</t>
  </si>
  <si>
    <t>OSORIO SOLORZANO, JUAN ERNESTO</t>
  </si>
  <si>
    <t>MARROQUIN PINEDA, ANDREA NICOLE</t>
  </si>
  <si>
    <t>MENJIVAR RUBIO, DIEGO ALEJANDRO</t>
  </si>
  <si>
    <t>RUBALLO CARDENAS, DAMARIS GISSELLE</t>
  </si>
  <si>
    <t>BARAHONA CABRERA, CLARISSA SARAI</t>
  </si>
  <si>
    <t>VILLANUEVA BELTRAN, BRANDON DAGOBERTO</t>
  </si>
  <si>
    <t>ALVARADO MELARA, ALEXYS GABRIEL</t>
  </si>
  <si>
    <t>CRUZ LOPEZ, HAZEL NICOLE</t>
  </si>
  <si>
    <t>MORAN CUELLAR, OSIRIS GABRIEL</t>
  </si>
  <si>
    <t>COORDINADOR DE DESARROLLO ORGANIZACIONAL</t>
  </si>
  <si>
    <t>CANTORAL ECHEVERRIA, STEVEN ANTONIO</t>
  </si>
  <si>
    <t>REYES GOMEZ, ANDY ALEXANDERSSON</t>
  </si>
  <si>
    <t>PALACIOS ALAS, NATHALY GISSELA</t>
  </si>
  <si>
    <t>HERRERA GUERRERO, ROBERTO ENRIQUE</t>
  </si>
  <si>
    <t>RIVERA LOZANO, DAVID SAMUEL</t>
  </si>
  <si>
    <t>MUNDO ORELLANA, CRISTINA GUADALUPE</t>
  </si>
  <si>
    <t>ASISTENTE DE DIRECCION</t>
  </si>
  <si>
    <t>NAJERA ESCOBAR, JENNIFER MIRELLA</t>
  </si>
  <si>
    <t>AUXILIAR DE IMPORTACIONES Y RETACEOS</t>
  </si>
  <si>
    <t>NOCHEZ DE BERMUDEZ, LUCCIANA</t>
  </si>
  <si>
    <t>OLMOS HERNANDEZ, DOUGLAS ULISES</t>
  </si>
  <si>
    <t>FUENTES CAÑADA, RENE OSVALDO</t>
  </si>
  <si>
    <t>ENCARGADO DE CHICO</t>
  </si>
  <si>
    <t>COREAS CUELLAR, ALLAN EDUARDO</t>
  </si>
  <si>
    <t>LOPEZ MARTINEZ, HERIBERTO ALEXANDER</t>
  </si>
  <si>
    <t>ORTIZ TRIGUEROS, KRISIA STEPHANIA</t>
  </si>
  <si>
    <t>TECNICO DE RECLUTAMIENTO</t>
  </si>
  <si>
    <t>GIRON SOLORZANO, ANDREA YASHIRA</t>
  </si>
  <si>
    <t>MARTINEZ MOLINA, DIEGO ROLANDO</t>
  </si>
  <si>
    <t>JUAREZ, BEKYS JASMIN</t>
  </si>
  <si>
    <t>RODRIGUEZ MENA, CHRISTOPHER ANTONIO</t>
  </si>
  <si>
    <t>NORDICORP EL SALVADOR</t>
  </si>
  <si>
    <t>TIENDAS DE BIENES DIVERSOS AL DETALLE</t>
  </si>
  <si>
    <t>NORDICORP SV</t>
  </si>
  <si>
    <t>MARTINEZ PORTILLO, MARCELA EUGENIA</t>
  </si>
  <si>
    <t>DIRECTOR DE MARCA</t>
  </si>
  <si>
    <t>PAREDES PELEGERO, DANIELA MARIA</t>
  </si>
  <si>
    <t>GERENTE DE OPERACION RETAIL</t>
  </si>
  <si>
    <t>RIVERA CAMPOS, SIRHAN GERARDO</t>
  </si>
  <si>
    <t>GERENTE DE OBRAS NUEVAS MARCAS</t>
  </si>
  <si>
    <t>TORRES MARTINEZ, ROCIO DEL CARMEN</t>
  </si>
  <si>
    <t>GERENTE DE MERCANCIAS</t>
  </si>
  <si>
    <t>TIENDA STRADIVARIUS GALERIAS</t>
  </si>
  <si>
    <t>ALFARO REYES, CHRISTIAN IVAN</t>
  </si>
  <si>
    <t>CABALLERO AYALA, MARIO ERNESTO</t>
  </si>
  <si>
    <t>PINEDA QUIUSQUI, IVAN ALEXIS</t>
  </si>
  <si>
    <t>ENCARGADO ARCHIVO</t>
  </si>
  <si>
    <t>BONILLA DURAN, KIMBERLY NICOLE</t>
  </si>
  <si>
    <t>TIENDA STRADIVARIUS LA GRAN VIA</t>
  </si>
  <si>
    <t>ACOSTA ESCOBAR, JASON LEONEL</t>
  </si>
  <si>
    <t>FIGUEROA CALLES, MARIA JOHANA</t>
  </si>
  <si>
    <t>MORALES JORDAN, DAVID MOISES</t>
  </si>
  <si>
    <t>ARAUJO HERNANDEZ, ZOE NICOLE</t>
  </si>
  <si>
    <t>SOLIS SOLIS, HALLE ALEXANDRA</t>
  </si>
  <si>
    <t>BENITEZ RODRIGUEZ, LESLIE ANDREA</t>
  </si>
  <si>
    <t>LOPEZ CHINCHILLA, JEANCARLO ALEJANDRO</t>
  </si>
  <si>
    <t>TERCER ENCARGADO I</t>
  </si>
  <si>
    <t>COLOCHO JIMENEZ, KARLA MARIA</t>
  </si>
  <si>
    <t>LOPEZ ALVARADO, ALVARO ALEXANDER</t>
  </si>
  <si>
    <t>GARCIA HERRERA, JONATHAN OSVALDO</t>
  </si>
  <si>
    <t>GUEVARA HERNANDEZ, ROLANDO JOSE</t>
  </si>
  <si>
    <t>ARGUETA MENDOZA, NATALIA VIRGINIA</t>
  </si>
  <si>
    <t>PRESIDENCIA ALSICORP</t>
  </si>
  <si>
    <t>OFICINAS ADMINISTRATIVAS</t>
  </si>
  <si>
    <t>CEO  FRANQUICIAS</t>
  </si>
  <si>
    <t>CABRERA ALVARADO, CRISTIAN ORLANDO</t>
  </si>
  <si>
    <t>GERENTE DE IMPORTACIONES FRANQUICIAS</t>
  </si>
  <si>
    <t>GERENTE DE CONTROL DE INVENTARIOS FRANQUICIAS</t>
  </si>
  <si>
    <t>HERNANDEZ RODRIGUEZ, NATHALY ADRIANA</t>
  </si>
  <si>
    <t>HERNANDEZ SALMERON, GLADYS ALEXIA</t>
  </si>
  <si>
    <t>GUARDADO CORNEJO, EDWARD MARDOQUEO</t>
  </si>
  <si>
    <t>RODRIGUEZ MEZA, FRANCISCO JOSE</t>
  </si>
  <si>
    <t>PANIAGUA ESCOBAR, NICOLE ALEXANDRA</t>
  </si>
  <si>
    <t>RODRIGUEZ MONGE, GABRIELA ALEJANDRA</t>
  </si>
  <si>
    <t>RIVERA HERNANDEZ, CLAUDIA MARIA</t>
  </si>
  <si>
    <t>VALLECILLOS ALFARO, MARIANA SOPHIA</t>
  </si>
  <si>
    <t>SACA SIMAN, ROLANDO DAVID</t>
  </si>
  <si>
    <t>VICEPRESIDENTE OPERACIONES FRANQUICIAS INDITEX</t>
  </si>
  <si>
    <t>SANDOVAL SANDOVAL, LUIS ARMANDO</t>
  </si>
  <si>
    <t>TORRES AVALOS, ELIZABETH ALEJANDRA</t>
  </si>
  <si>
    <t>DIRECTOR COMERCIAL DE NIÑOS</t>
  </si>
  <si>
    <t>ACEVEDO PEREZ, JOCELYN CAROLINA</t>
  </si>
  <si>
    <t xml:space="preserve">VASQUEZ ALVAREZ, MARCOS ANTONIO </t>
  </si>
  <si>
    <t>VASQUEZ RODRIGUEZ, ISAIAS ONAN</t>
  </si>
  <si>
    <t>VICHE HERCULES, ANDREA MARIA</t>
  </si>
  <si>
    <t>ADMINISTRADOE DE EXITENCIA DE TIENDA</t>
  </si>
  <si>
    <t>CONTRALOR FRANQUICIAS</t>
  </si>
  <si>
    <t>VASQUEZ CONSTANZA, LESLIE JULIANA</t>
  </si>
  <si>
    <t>Guatemala</t>
  </si>
  <si>
    <t>GERENCIA DE PAIS FRANQUICIAS GUATEMALA</t>
  </si>
  <si>
    <t>ESPATENDAS DE GUATEMALA</t>
  </si>
  <si>
    <t>ROSALES GONZALEZ, LUZ ANGELICA</t>
  </si>
  <si>
    <t>VELA BROL, PEDRO ANTONIO</t>
  </si>
  <si>
    <t>TIENDA OYSHO OAKLAND</t>
  </si>
  <si>
    <t>ESTRADA MONTENEGRO, IRIDE LOURDES MAHOLY</t>
  </si>
  <si>
    <t>FIGUEROA MONTERROSO, ELVIA ABIGAIL</t>
  </si>
  <si>
    <t>ACAJABON PALENCIA, MYNOR DANIEL</t>
  </si>
  <si>
    <t>CHUN PEREZ, ZABDI SAMUEL</t>
  </si>
  <si>
    <t>MARTINEZ MEJIA, YOSSELIN VERONICA</t>
  </si>
  <si>
    <t>COY REYNOS, EMELIN YANET</t>
  </si>
  <si>
    <t>VILLAVICENCIO SARAVIA, PAULINA</t>
  </si>
  <si>
    <t>DIAZ HERNANDEZ, JOSE CARLOS DAVID</t>
  </si>
  <si>
    <t>GARCIA FLORES, DANA BRISEYDA</t>
  </si>
  <si>
    <t>SOZA DAVILA, MARCOS FABRICIO</t>
  </si>
  <si>
    <t>TIENDA ZARA MIRAFLORES</t>
  </si>
  <si>
    <t>EUROTIENDAS DE GUATEMALA MIRAFLORES</t>
  </si>
  <si>
    <t>AGUILAR CASTILLO, LOURDES MARLENNE</t>
  </si>
  <si>
    <t>GOMEZ ORELLANA, MADELEIN YASMIN</t>
  </si>
  <si>
    <t>TIENDA ZARA OAKLAND</t>
  </si>
  <si>
    <t>EUROTIENDAS DE GUATEMALA OAKLAND</t>
  </si>
  <si>
    <t>ALMENGOR QUEVEDO, DULCE ANA LUCIA</t>
  </si>
  <si>
    <t>TELLES VELIZ, GERSON JOSUE</t>
  </si>
  <si>
    <t>AGUILAR SANTIZO, LEONARDO SEBASTIAN</t>
  </si>
  <si>
    <t>TIENDA ZARA PRADERA CONCEPCION</t>
  </si>
  <si>
    <t>EUROTIENDAS DE GUATEMALA PRADERA CONCEPCION</t>
  </si>
  <si>
    <t>ALBIZUREZ RIVERA, JADE ALEJANDRA</t>
  </si>
  <si>
    <t>SANTIZO HURTADO, MELIDA ROSEMARY</t>
  </si>
  <si>
    <t>ADMINISTRACION FRANQUICAS EURO</t>
  </si>
  <si>
    <t>EUROTIENDAS DE GUATEMALA S.A OFICINAS</t>
  </si>
  <si>
    <t>ABAC LAPOYEU, ABRAHAM NEHEMIAS</t>
  </si>
  <si>
    <t>CAMEY CANEL, MYNOR DAVID</t>
  </si>
  <si>
    <t>ALVARADO RIVERA, ELIEL ANDY AHLY</t>
  </si>
  <si>
    <t>ALVAREZ SALAZAR, ADRIANA SOFIA</t>
  </si>
  <si>
    <t>ALVAREZ RAMIREZ, CHRISTOPHER ALEXANDER</t>
  </si>
  <si>
    <t>ALVAREZ NOLASCO, SHERLY ARACELY</t>
  </si>
  <si>
    <t>GERENCIA ADMINISTRATIVA FRANQUICIAS</t>
  </si>
  <si>
    <t>ARMAS GONZALEZ, KAREN ANDREA</t>
  </si>
  <si>
    <t>GERENTE DE RECURSOS HUMANOS</t>
  </si>
  <si>
    <t>JEFATURA DE IMPORTACIONES FRANQUICIAS</t>
  </si>
  <si>
    <t>BAMACA DIAZ, HEIDY CELESTE</t>
  </si>
  <si>
    <t>DE PAZ MARIN, ANGEL ORLANDO</t>
  </si>
  <si>
    <t>BARRIOS ALONZO, ARLIN YOMILA</t>
  </si>
  <si>
    <t>ALVAREZ URIAS, LUIS FERNANDO</t>
  </si>
  <si>
    <t>BLANCO MANUEL, DARY KELL</t>
  </si>
  <si>
    <t>CASTILLO CUXUN, NANCY FABIOLA</t>
  </si>
  <si>
    <t>ARIAS CRUZ, DYLANN ALEJANDRO</t>
  </si>
  <si>
    <t>AYERDI RENDÓN, RODRIGO ALEJANDRO</t>
  </si>
  <si>
    <t>CALDERON BAUTISTA, IRCI LEOBELI</t>
  </si>
  <si>
    <t>AUXILIAR DE CONTABILIDAD</t>
  </si>
  <si>
    <t>BAMACA YAGUAS, SARY MAIGRETH</t>
  </si>
  <si>
    <t>BLANCO PEREZ, JEFFERSON ANTONIO</t>
  </si>
  <si>
    <t>BRAN TUCHEZ, DANISSA ALESSANDRA</t>
  </si>
  <si>
    <t>BLANCO, DOUGLAS JAVIER</t>
  </si>
  <si>
    <t>CHOM CIPRIANO, KENIA ALEJANDRA</t>
  </si>
  <si>
    <t>CADENAS FRANCO, ROSA LINDA</t>
  </si>
  <si>
    <t>CHAVEZ CHUQUIEJ, DERICK EMANUEL</t>
  </si>
  <si>
    <t>BOCHANTIN VELIZ, ALDO SEBASTIAN</t>
  </si>
  <si>
    <t>CHETE SANCHEZ, ABNER EMILIO</t>
  </si>
  <si>
    <t>SUB DIRECTOR(A) DE TIENDAS</t>
  </si>
  <si>
    <t>JOVENMODA DE GUATEMALA  S A  OFICINAS</t>
  </si>
  <si>
    <t>CAMPOS CHONAY, SHIRLEY ANDREA</t>
  </si>
  <si>
    <t>CASTAÑEDA MUÑOZ, JONATHAN JOSUE</t>
  </si>
  <si>
    <t>CASTILLO NUÑEZ, JORGE ANTONIO</t>
  </si>
  <si>
    <t>DIRECTOR COMERCIAL DE SEÑORA</t>
  </si>
  <si>
    <t>CASTELLANOS MUÑOZ, EDUARDO RAFAEL</t>
  </si>
  <si>
    <t>CHIVALAN CASTRO, LUISA SHIRLEY AMERICA</t>
  </si>
  <si>
    <t>CEBALLOS, PABLO DAVID</t>
  </si>
  <si>
    <t>DE LEON BOCHE, JOSUE ALFREDO</t>
  </si>
  <si>
    <t>CHUQUIEJ ANDRADE, ALISON MAYERLY</t>
  </si>
  <si>
    <t>GERENCIA RECURSOS HUMANOS FRANQUICIAS</t>
  </si>
  <si>
    <t>CAZADO MERIDA, BRAYAN ALEXANDER</t>
  </si>
  <si>
    <t>CHUB HERRERA, VICTOR DANIEL</t>
  </si>
  <si>
    <t>COLCHAJ SOLIS, KEVIN ALEXANDER</t>
  </si>
  <si>
    <t>CHUNCHUN ALQUIJAY, EDVIN HUMBERTO</t>
  </si>
  <si>
    <t>JEFE DE MANTENIMIENTO</t>
  </si>
  <si>
    <t>PROMODA DE GUATEMALA SA OFICINAS</t>
  </si>
  <si>
    <t>DAVILA PALENCIA, KEVIN JOSUE</t>
  </si>
  <si>
    <t>CHACON MORALES, JOSE GABRIEL</t>
  </si>
  <si>
    <t>JEFE DE IMPORTACIONES</t>
  </si>
  <si>
    <t>DE LEON RUSTRIAN, KATHERINE ELIZABETH</t>
  </si>
  <si>
    <t>CHANG ALVAREZ, MERSHURY ESTACY</t>
  </si>
  <si>
    <t>CORTEZ DE LEON, ANDRE ARNALDO</t>
  </si>
  <si>
    <t>ADMINISTRACION FRANQUICAS IBERO</t>
  </si>
  <si>
    <t>IBEROMODA DE GUATEMALA SA OFICINAS</t>
  </si>
  <si>
    <t>DEL CID MANCILLLA, MARIA JOSE</t>
  </si>
  <si>
    <t>PINEDA MENDEZ, DELIA AZUCENA</t>
  </si>
  <si>
    <t>DOÑAN GARCIA, KARLA VIRGINIA</t>
  </si>
  <si>
    <t>CISNEROS RUANO, NUBIA YETHSIRE</t>
  </si>
  <si>
    <t>ESCOBAR REYES, KRISTEEN ILIANY</t>
  </si>
  <si>
    <t>COBAR GONZALEZ, JOSE CARLOS</t>
  </si>
  <si>
    <t>ESPAÑA HERRERA, MARIANNE</t>
  </si>
  <si>
    <t>FIGUEROA RIVAS, GLADIS ORVELINA</t>
  </si>
  <si>
    <t>GARCIA ALVARADO, WALDO JAVIER</t>
  </si>
  <si>
    <t>GARCIA GARCIA, ARILIO EDUARDO</t>
  </si>
  <si>
    <t>CONTRERAS HERNANDEZ, KEYLA SARAHI</t>
  </si>
  <si>
    <t>ENCARGADO(A) DE SECCION NIÑOS</t>
  </si>
  <si>
    <t>CONTRERAS ORELLANA, ESTUARDO ISMAEL</t>
  </si>
  <si>
    <t>FAJARDO ALVREZ, LILIAN MISHELL</t>
  </si>
  <si>
    <t>GARCIA POLANCO, ZACARIAS JOSUE</t>
  </si>
  <si>
    <t>GUINAC CHIGUIL, KIMBERLY ESMERALDA</t>
  </si>
  <si>
    <t>GONZALES AMAYA, NOHELIA GUILLERMINA</t>
  </si>
  <si>
    <t>CRUZ GARCIA, EDITH DULCEMILENA</t>
  </si>
  <si>
    <t>DE LEON FERRER, JEFREY ORLANDO</t>
  </si>
  <si>
    <t>DE LEON, ROSELYN MELINA</t>
  </si>
  <si>
    <t>GONZALEZ CANO, JOSE DANIEL</t>
  </si>
  <si>
    <t>HERNANDEZ LOPEZ, DIEGO ALESSANDRO</t>
  </si>
  <si>
    <t>HERNANDEZ OROZCO, LAURA SOFIA</t>
  </si>
  <si>
    <t>GARCIA SAENZ, SARA ABIGAIL</t>
  </si>
  <si>
    <t>GOMEZ CHUMIL, KIMBERLI PATRICIA</t>
  </si>
  <si>
    <t>GONZALEZ GARCIA, RONAL OSMIN</t>
  </si>
  <si>
    <t>ENCARGADA(O) DE SECCION</t>
  </si>
  <si>
    <t>ESTRADA ESCOBAR, FABIAN ESTEBAN</t>
  </si>
  <si>
    <t>HERRERA, KATERIN PAOLA</t>
  </si>
  <si>
    <t>JEFATURA DE MANTENIMIENTO FRANQUICIAS</t>
  </si>
  <si>
    <t>GARCIA HERNANDEZ, WALFRED AMILCAR</t>
  </si>
  <si>
    <t>ESTRADA JIMENEZ, MICHAEL JOANSON</t>
  </si>
  <si>
    <t>GUDIEL OROZCO, JUAN FERNANDO</t>
  </si>
  <si>
    <t>HERNANDEZ JUAREZ, CRISTIAN DARIO</t>
  </si>
  <si>
    <t>FALLA BLANCO, MELANY NHOEMY</t>
  </si>
  <si>
    <t>LEON RAMIREZ, JEANCARLO BENJAMIN</t>
  </si>
  <si>
    <t>FERNANDEZ JIMENEZ, KIMBERLY ESTEFANIA</t>
  </si>
  <si>
    <t>LOPEZ CASTRO, FRANCISCO ELIAS</t>
  </si>
  <si>
    <t>LOPEZ ALONZO, MARITZA JUDITH</t>
  </si>
  <si>
    <t>LOPEZ GARCIA, ROGER ISAI</t>
  </si>
  <si>
    <t>GARCIA MAYEN, MICHELLE ANAHI</t>
  </si>
  <si>
    <t>LOPEZ LOPEZ, JEREMI ABRAHAM</t>
  </si>
  <si>
    <t>LUNA DEL CID, DANIEL ANDRE</t>
  </si>
  <si>
    <t>FERNANDEZ LOPEZ, JORDANI ALEJANDRO</t>
  </si>
  <si>
    <t>LUTIN HERRERA, ELIA SARAI</t>
  </si>
  <si>
    <t>LOPEZ ROSALES, ILSER MICHELLE</t>
  </si>
  <si>
    <t>GARCIA SAGASTUME, ERICK FERNANDO</t>
  </si>
  <si>
    <t>LUNA FLORES, SOPHIA RENEE</t>
  </si>
  <si>
    <t>CHELEY MARCOS, BRANDON EDUARDO</t>
  </si>
  <si>
    <t>GONZALEZ MENDEZ, GLORIA PAOLA</t>
  </si>
  <si>
    <t>GUTIERREZ LUIS, FRANCIS</t>
  </si>
  <si>
    <t>MALDONADO LÓPEZ, LIBNY PAMELA</t>
  </si>
  <si>
    <t>CULAN BARCO, LUIS FERNANDO</t>
  </si>
  <si>
    <t>HERNANDEZ RAMIREZ, MARIA FERNANDA</t>
  </si>
  <si>
    <t>IBEROMODA DE GUATEMALA MIRAFLORES</t>
  </si>
  <si>
    <t>GARCIA, BRANDON ESTUARDO</t>
  </si>
  <si>
    <t>GIRON HERNANDEZ, MARITZA LISBETH</t>
  </si>
  <si>
    <t>JUAREZ MACARIO, ELENI</t>
  </si>
  <si>
    <t>LETRAN CASTILLO, MARCO FABIAN</t>
  </si>
  <si>
    <t>LIMA RUIZ, HANSELL ALEXANDER</t>
  </si>
  <si>
    <t>LOPEZ DUBON, EMILY LARISSA</t>
  </si>
  <si>
    <t>MARROQUIN SUCHI, DANIEL ENRIQUE</t>
  </si>
  <si>
    <t>MAYORGA SALGUERO, MARIA CAMILA</t>
  </si>
  <si>
    <t>HERNANDEZ VASQUEZ, ALLAN URAEUS ZEBEK</t>
  </si>
  <si>
    <t>LOPEZ FIGUEROA, MARIA ALEJANDRA</t>
  </si>
  <si>
    <t>LOPEZ HERNANDEZ, JONATHAN DAVID</t>
  </si>
  <si>
    <t>LOPEZ RAMOS, MELANNIE YESSENIA</t>
  </si>
  <si>
    <t>NORIEGA PALMA, FRANCISCO DE JESUS</t>
  </si>
  <si>
    <t>MAYEN DAVILA, MARIA FERNANDA</t>
  </si>
  <si>
    <t>MEJIA SICAJA, GISELL MARIA ANDRE</t>
  </si>
  <si>
    <t>MEJIA REYES, MARCOS DAVID</t>
  </si>
  <si>
    <t>MENDEZ ROMERO, MIRIAM CELESTE</t>
  </si>
  <si>
    <t>OVALLE ROJAS, CHRISTIAN ALEXANDER</t>
  </si>
  <si>
    <t>PEREIRA CHILIN, EDWIN ALEXANDER</t>
  </si>
  <si>
    <t>PROMODA DE GUATEMALA S.A MIRAFLORES</t>
  </si>
  <si>
    <t>GODOY GONZALEZ, INGRID ALEJANDRA</t>
  </si>
  <si>
    <t>MORALES GARCÍA, XIMENA DULCE MARIA</t>
  </si>
  <si>
    <t>MORAN GARCIA, BRANDON EDUARDO</t>
  </si>
  <si>
    <t>OCHOA LEMUS, ALVARO ESTUARDO</t>
  </si>
  <si>
    <t>REYES ANDRADE, JUAN FRANCISCO</t>
  </si>
  <si>
    <t>ORDOÑEZ POROJ, ANGEL ARIEL</t>
  </si>
  <si>
    <t>ORELLANA ARGUETA, FERNANDA ILUSION</t>
  </si>
  <si>
    <t>MEZA DAMACIO, MARLYN ADRIANA</t>
  </si>
  <si>
    <t>OROZCO MEJIA, ABDI ELIZABET</t>
  </si>
  <si>
    <t>OVANDO MELGAR, ANA VALERIA</t>
  </si>
  <si>
    <t>PEÑA LEMUS, LUIS EDUARDO</t>
  </si>
  <si>
    <t>REYES PEREZ, MATTEW ALEJANDRO</t>
  </si>
  <si>
    <t>RODAS CEBALLOS, ABDY JULISSA</t>
  </si>
  <si>
    <t>NAJERA YANES, JOSUE DANIEL</t>
  </si>
  <si>
    <t>PEREZ HERNANDEZ, ANGEL ZAMIR</t>
  </si>
  <si>
    <t>PINEDA ENRIQUEZ, MELANI LISETH</t>
  </si>
  <si>
    <t>PINTO GUTIERREZ, JUAN JOSE</t>
  </si>
  <si>
    <t>RAFAEL RUANO, KEVIN JAVIER</t>
  </si>
  <si>
    <t>RAXCACO HERNANDEZ, EDGAR NOE</t>
  </si>
  <si>
    <t>RUSTRIAN SALAY, CARLOS RICARDO</t>
  </si>
  <si>
    <t>NAVARRO REYES, FRANLUI ABRAHAM</t>
  </si>
  <si>
    <t>ORDOÑEZ PORTILLO, JULIO DONATO</t>
  </si>
  <si>
    <t>ORTIZ HERNANDEZ, DARWIN OSMAR</t>
  </si>
  <si>
    <t>RAMIREZ AGUILAR, EMILY ALEJANDRA</t>
  </si>
  <si>
    <t>REYES FIGUEROA, PABLO CESAR</t>
  </si>
  <si>
    <t>RIVAS GOMEZ, JHOSTYN JOSUE</t>
  </si>
  <si>
    <t>ROSALES ESCOBAR, BRYAN ALEXANDER</t>
  </si>
  <si>
    <t>SIPAQUE HERRERA, MARIANA ANTONIA</t>
  </si>
  <si>
    <t>RUANO MORALES, JERSON DAVID</t>
  </si>
  <si>
    <t>SALGUERO PEREZ, JOSELYN ARACELY</t>
  </si>
  <si>
    <t>SOLORZANO CORONA, JOHANN PAOLO</t>
  </si>
  <si>
    <t>SANTIZO HUERTAS, JOSELYN GUADALUPE</t>
  </si>
  <si>
    <t>VALDEZ TORRES, KARLA KARINA</t>
  </si>
  <si>
    <t>ZETINO MELGAR, JOSE CARLOS</t>
  </si>
  <si>
    <t>RUEDA CHAVARRIA, BRISA ELIETH</t>
  </si>
  <si>
    <t>SANCHEZ GARCIA, ANTONY ALEJANDRO</t>
  </si>
  <si>
    <t>SANTOS JIMENEZ, KEVIN OSWALDO</t>
  </si>
  <si>
    <t>SUB JEFE OPERACIONES</t>
  </si>
  <si>
    <t>SARAVIA MENDOZA, OSCAR PABLO DAVID</t>
  </si>
  <si>
    <t>VASQUEZ MORALES, AMILCAR JOSE</t>
  </si>
  <si>
    <t>MONTERROSO MUÑOZ, LESTER ALEXANDER</t>
  </si>
  <si>
    <t>ZOC GARCIA, DARELIN DAYANA</t>
  </si>
  <si>
    <t>SAS MENDEZ, JULIO FERNANDO</t>
  </si>
  <si>
    <t>SOLARES CALDERON, CARLOS FERNANDO</t>
  </si>
  <si>
    <t>SCOTT MEZA, ANGELITA ALEJADRA</t>
  </si>
  <si>
    <t>TAX GALVEZ, KEILYN GEOVANNA</t>
  </si>
  <si>
    <t>ORTEGA MENCHU, STEPHANY LISSETTE</t>
  </si>
  <si>
    <t>SIMON COLAJ, JENIFER ABIGAIL</t>
  </si>
  <si>
    <t>VELASCO RAC, DAVID RENE</t>
  </si>
  <si>
    <t>SIR MANZO, DUSTIN RICARDO</t>
  </si>
  <si>
    <t>TAQUE GOMEZ, FELIX JUAN PABLO</t>
  </si>
  <si>
    <t>VELASQUEZ ARGUETA, ANDREW STUARD</t>
  </si>
  <si>
    <t>YOS ORDOÑEZ, ALVARO ARMANDO</t>
  </si>
  <si>
    <t>ZABALA ROJAS, BRYAN ABRAHAM</t>
  </si>
  <si>
    <t>ZAMORA SAENZ, ANGELI ESTEFANI</t>
  </si>
  <si>
    <t>ZARATE QUIEJ, ALONDRA RAQUEL</t>
  </si>
  <si>
    <t>TIENDA ZARA HOME OAKLAND</t>
  </si>
  <si>
    <t>HAGAMODA DE GUATEMALA S.A OAKLAND</t>
  </si>
  <si>
    <t>ARAUZ ESTRADA, ANGEL ANDRES</t>
  </si>
  <si>
    <t>GARCIA MARROQUIN, JENNIFER DENISSE</t>
  </si>
  <si>
    <t>ARCHILA CASTELLANO, NESTOR FABRIZIO</t>
  </si>
  <si>
    <t>BAMACA YAGUAS, LUISA FERNANDA</t>
  </si>
  <si>
    <t>GALDAMEZ ORELLANA, DIEGO ANTONIO</t>
  </si>
  <si>
    <t>GAMEZ ESTRADA, YADIRA PAOLA</t>
  </si>
  <si>
    <t>GONZALEZ ANAYA, HEIDY GISSEL</t>
  </si>
  <si>
    <t>MANCILLA PEREZ, JOSE FELIPE</t>
  </si>
  <si>
    <t>MESIAS CHINCHILLA, HENRY EMANUEL</t>
  </si>
  <si>
    <t>PINEDA ESTRADA, KEVIN ESTUARDO</t>
  </si>
  <si>
    <t>PORTILLO TRUJILLO, HILLARY BRIGITH</t>
  </si>
  <si>
    <t>PEREZ ORTIZ, STEFANY MICHELINE</t>
  </si>
  <si>
    <t>TIENDA PULL AND BEAR MIRAFLORES</t>
  </si>
  <si>
    <t>BARRIOS ARDIANO, BRANDON GEOVANNI</t>
  </si>
  <si>
    <t>JEREZ SANTIZO, SHARON DANIELA</t>
  </si>
  <si>
    <t>TIENDA PULL AND BEAR PRADERA CONCEPCION</t>
  </si>
  <si>
    <t>IBEROMODA DE GUATEMALA PRADERA CONCEPCION</t>
  </si>
  <si>
    <t>ALVAREZ NAJERA, EDUARDO JOSUE</t>
  </si>
  <si>
    <t>MATZER MAGERMANS, JOSELYN PAOLA</t>
  </si>
  <si>
    <t>TIENDA PULL AND BEAR OAKLAND</t>
  </si>
  <si>
    <t>IBEROMODA DE GUATEMALA OAKLAND</t>
  </si>
  <si>
    <t>ESTRADA VELASQUEZ, ALVARO YOJAN ALESSANDRO</t>
  </si>
  <si>
    <t>FLORES RECINOS, LUIS FERNANDO</t>
  </si>
  <si>
    <t>PORTELA CANASTUJ, JUAN DIEGO ALESSANDRO</t>
  </si>
  <si>
    <t>AQUINO SANCHEZ, DASHIELL ANDRE</t>
  </si>
  <si>
    <t>COGUAX MARROQUIN, GERBER RUBEN</t>
  </si>
  <si>
    <t>PINEDA COJULUN, JADE MARIA</t>
  </si>
  <si>
    <t>LOPEZ ROSALES, JULYANA ANDREA</t>
  </si>
  <si>
    <t>BARRIOS TOLEDO, VANESA CELESTE</t>
  </si>
  <si>
    <t>BOTZOC QUINO, LUDWING ENRIQUE</t>
  </si>
  <si>
    <t>CASTELLANOS MUÑOZ, CHRISTIAN LEONEL</t>
  </si>
  <si>
    <t>CAMPOS ENRIQUEZ, ESTEFANI PATRICIA</t>
  </si>
  <si>
    <t>OVALLE SIERRA, ILSE JUDITH</t>
  </si>
  <si>
    <t>GARCIA HERNANDEZ, JOSHUA ALEJANDRO</t>
  </si>
  <si>
    <t>VASQUEZ OLIVA, ALLISSON JULLIETH</t>
  </si>
  <si>
    <t>DAVILA CHEW, DIEGO ALEJANDRO</t>
  </si>
  <si>
    <t>JOVENMODA DE GUATEMALA MIRAFLORES</t>
  </si>
  <si>
    <t>PUR HERNANDEZ, EDUARDO ENRIQUE</t>
  </si>
  <si>
    <t>GARCIA VASQUEZ, HARLETTE EUNICE</t>
  </si>
  <si>
    <t>GARCIA VILLATORO, SERGIO YOVANY</t>
  </si>
  <si>
    <t>MAAS PEREZ, AARON JHESHUA</t>
  </si>
  <si>
    <t>GIRON LOPEZ, AIDA MARIOLA</t>
  </si>
  <si>
    <t>ELIAS GOMEZ, MELVIN ALEXANDER</t>
  </si>
  <si>
    <t>GUERRA GONZALEZ, JEFFERSON ALEJANDRO</t>
  </si>
  <si>
    <t>HERNANDEZ ITZEP, ANTONIO</t>
  </si>
  <si>
    <t>BOCH BARILLAS, ANDREA PAOLA</t>
  </si>
  <si>
    <t>HERRERA GARCIA, DIEGO ALEXANDER</t>
  </si>
  <si>
    <t>HERNANDEZ OVALLE, YARA REBECA</t>
  </si>
  <si>
    <t>PELICO GUOX, VILMA AZUCENA</t>
  </si>
  <si>
    <t>REAL RAMIREZ, YESSAMIN ALEXANDRA</t>
  </si>
  <si>
    <t>SANCHEZ ITZEP, ANTONY DIEGO</t>
  </si>
  <si>
    <t>LOPEZ LEON, LAUREN MARCELA</t>
  </si>
  <si>
    <t>RIVAS CASTAÑEDA, JOSUE ANDRE</t>
  </si>
  <si>
    <t>QUIEJ XIVIR, GEREMIAS BENJAMIN</t>
  </si>
  <si>
    <t>JOR PEREZ, CARLOS LEONEL</t>
  </si>
  <si>
    <t>SANTOS HERNANDEZ, EDIN JOSUE</t>
  </si>
  <si>
    <t>SOTO JIMENEZ, EMERZON ELIU ABISAI</t>
  </si>
  <si>
    <t>OBANDO ZEPEDA, SOFIA IVETH</t>
  </si>
  <si>
    <t>SINAY BOCH, ALEXANDER ISAAC</t>
  </si>
  <si>
    <t>SOSA LOPEZ, FATIMA SOFIA</t>
  </si>
  <si>
    <t>TIENDA MASSIMO DUTTI OAKLAND</t>
  </si>
  <si>
    <t>INTERTIENDAS DE GUATEMALA OAKLAND</t>
  </si>
  <si>
    <t>MENDEZ GARCIA, DAVID ALEJANDRO</t>
  </si>
  <si>
    <t>PALMA PACHECO, LUIS ROMEO</t>
  </si>
  <si>
    <t>PAREDES BALAN, ESTEFANY ALEJANDRA</t>
  </si>
  <si>
    <t>LOPEZ ARAGON, DANA SOFIA</t>
  </si>
  <si>
    <t>ESTRADA MARROQUIN, LESTER DE JESUS</t>
  </si>
  <si>
    <t>ROUSSELIN CAKACHO, JARVIES JEANINE</t>
  </si>
  <si>
    <t>ORDOÑEZ GUEVARA, BRANDON ALEXIS</t>
  </si>
  <si>
    <t>GOMEZ CHACON, ESTEFANY YOHANA</t>
  </si>
  <si>
    <t>HERNANDEZ REYES, GEOVANY</t>
  </si>
  <si>
    <t>MOLINA GONZALEZ, SUCELY ESTEFANIA</t>
  </si>
  <si>
    <t>MORALES AREVALO, ADRIAN ALEJANDRO</t>
  </si>
  <si>
    <t>SANDOVAL HERRMANN, ADRIANA</t>
  </si>
  <si>
    <t>ALVAREZ CANTE, KARLA YASMIN</t>
  </si>
  <si>
    <t>TIENDA BERSHKA OAKLAND</t>
  </si>
  <si>
    <t>JOVENMODA  DE GUATEMALA OAKLAND</t>
  </si>
  <si>
    <t>NAJERA PAREDES, DERICK JOSE ANDRES</t>
  </si>
  <si>
    <t>CAMPOS REYNA, CARLOS ROBERTO</t>
  </si>
  <si>
    <t>TIENDA BERSHKA MIRAFLORES</t>
  </si>
  <si>
    <t>AVILA CASTILLO, RICHARD ALEXANDER</t>
  </si>
  <si>
    <t>BLANCO ANZUETO, JOSE ALBERTO</t>
  </si>
  <si>
    <t>CALDERON GONZALEZ, KATHERINE MISHEL</t>
  </si>
  <si>
    <t>TIENDA BERSHSKA PRADERA CONCEPCION</t>
  </si>
  <si>
    <t>JOVENMODA DE GUATEMALA PRADERA CONCEPION</t>
  </si>
  <si>
    <t>ALVAREZ RAMIREZ, ROBERT ALEJANDRO</t>
  </si>
  <si>
    <t>GARCIA GONZALES, EMELY ANAI</t>
  </si>
  <si>
    <t>BLAS MUÑOZ, MARIA FERNANDA</t>
  </si>
  <si>
    <t>MAYORGA GONZALEZ, SHALY MARISOL</t>
  </si>
  <si>
    <t>ALVAREZ ALVAREZ, KATTERIN MISHELL</t>
  </si>
  <si>
    <t>RUSTRIAN CHUA, JOSE MIGUEL</t>
  </si>
  <si>
    <t>DIAZ SALAZAR, DIEGO STEVEN</t>
  </si>
  <si>
    <t>DIAZ SUMALE, YENIFER MARIBEL</t>
  </si>
  <si>
    <t>RAMIREZ PALMA, ANTONY LEONEL</t>
  </si>
  <si>
    <t>FIGUEROA MARROQUIN, ELISSA MARIA</t>
  </si>
  <si>
    <t>GARCIA SOLORZANO, LIA NATALIA</t>
  </si>
  <si>
    <t>GODINEZ RAMIREZ, JOEL ISAI</t>
  </si>
  <si>
    <t>DIVASI CONTRERAS, JOSE ALEJANDRO</t>
  </si>
  <si>
    <t>QUIROA TUCHEZ, JUAN ELISEO</t>
  </si>
  <si>
    <t>MARROQUIN VILLALTA, SERGIO ALEXANDER</t>
  </si>
  <si>
    <t>AGUILAR CUTZAL, WILSON DANIEL</t>
  </si>
  <si>
    <t>GOMEZ SOLAREZ, ASHLEY PAOLA</t>
  </si>
  <si>
    <t>HERNANDEZ ALVARADO, ETELINDA MATILDE</t>
  </si>
  <si>
    <t>HERNANDEZ GARCIA, CRISTIAN DAVID</t>
  </si>
  <si>
    <t>CORTEZ BARILLAS, ANGEL WALDEMAR</t>
  </si>
  <si>
    <t>HERNANDEZ PINEDA, ANDRES RODOLFO</t>
  </si>
  <si>
    <t>MORALES SON, CESIA JEMIMA</t>
  </si>
  <si>
    <t>ECHEVERRIA CAPRIEL, KRISTELL MICHELLE</t>
  </si>
  <si>
    <t>LOPEZ QUINTEROS, JOEL ANDRE</t>
  </si>
  <si>
    <t>MALDONADO ANDRADE, RAUL ESTUARDO</t>
  </si>
  <si>
    <t>MENDEZ, KENNET ELIHU</t>
  </si>
  <si>
    <t>HERNANDEZ GUTIERREZ, SHEILY ROCIO</t>
  </si>
  <si>
    <t>JUAREZ MENDEZ, DARLYN JULISA</t>
  </si>
  <si>
    <t>MEZA DIAZ, JACQUELINE YVETTE</t>
  </si>
  <si>
    <t>SAMUC TZINA, GELDY JOSEFA</t>
  </si>
  <si>
    <t>ORREGO, SARA ABIGAIL</t>
  </si>
  <si>
    <t>PEREZ CHAMORRO, ESTRELLITA MERARI</t>
  </si>
  <si>
    <t>SEQUEN POCON, ANGEL DAVID</t>
  </si>
  <si>
    <t>AUXILIAR DE TESORERIA</t>
  </si>
  <si>
    <t>MEJIA RAMIREZ, NIK STEVE</t>
  </si>
  <si>
    <t>ORTIZ TZOC, MARIO ANDRES</t>
  </si>
  <si>
    <t>PERSONAL EVENTUAL</t>
  </si>
  <si>
    <t>JIMON SONTAY, EDGAR ROLANDO</t>
  </si>
  <si>
    <t>QUINO TAMUP, JORGE ARTURO</t>
  </si>
  <si>
    <t>NOLASCO GUEVARA, ALLAN ALDAIR</t>
  </si>
  <si>
    <t>TUCTUC IBARRA, RONALD ESTUARDO</t>
  </si>
  <si>
    <t>VALENZUELA ALVAREZ, ANDERSON SAMUEL</t>
  </si>
  <si>
    <t>RAMOS LOPEZ, ERIKSSON HELIMER</t>
  </si>
  <si>
    <t>RIANDA ESTRADA, LUIS MIGUEL</t>
  </si>
  <si>
    <t>VANEGAS PORTUGUEZ, ENIO GILBERTO</t>
  </si>
  <si>
    <t>SINAY VELIZ, ALEX LEONEL</t>
  </si>
  <si>
    <t>TAPERIA PINEDA, FREDY MANUEL</t>
  </si>
  <si>
    <t>PINOT WERNER, PEDRO</t>
  </si>
  <si>
    <t>TIENDA STRADIVARIUS MIRAFLORES</t>
  </si>
  <si>
    <t>AREVALO AYALA, MELANIE TATIANA</t>
  </si>
  <si>
    <t>GALICIA DE LEON, DAVID ISAI</t>
  </si>
  <si>
    <t>TORRES DIEGUEZ, MELISSA LORENA</t>
  </si>
  <si>
    <t>RECEPCIONISTA</t>
  </si>
  <si>
    <t>TIENDA STRADIVARIUS OAKLAND</t>
  </si>
  <si>
    <t>PROMODA DE GUATEMALA S.A OAKLAND</t>
  </si>
  <si>
    <t>BAILON MONTERROSO, JAROL ABDIEL</t>
  </si>
  <si>
    <t>PADILLA CADENAS, SHARON ELAINE</t>
  </si>
  <si>
    <t>CARDONA RAMOS, LUIS PEDRO</t>
  </si>
  <si>
    <t>CATALAN RIVERA, KATERIN NAYELI</t>
  </si>
  <si>
    <t>TIENDA STRADIVARIUS PRADERA CONCEPCION</t>
  </si>
  <si>
    <t>CAMPOS SICAN, KIMBERLY JAZMIN</t>
  </si>
  <si>
    <t>LOPEZ CASTILLO, YAKELIN ELIZABETH</t>
  </si>
  <si>
    <t>CARRILLO, JERELY DALLANNA</t>
  </si>
  <si>
    <t>PROMODA DE GUATEMALA S.A PRADERA CONCEPCION</t>
  </si>
  <si>
    <t>CANIZALES MARTINEZ, WILLIAM ANTONY</t>
  </si>
  <si>
    <t>CASTAÑEDA PIVARAL, CAROLYN DANIELA</t>
  </si>
  <si>
    <t>DE LEON PEREZ, MARIA FERNANDA</t>
  </si>
  <si>
    <t>COC RUIZ, JEIMY ALEXANDRA</t>
  </si>
  <si>
    <t>DIEGUEZ DIEGUEZ, ADRIANA GABRIELA</t>
  </si>
  <si>
    <t>FLORES ROJAS, JOHAN ABIMAEL</t>
  </si>
  <si>
    <t>DIRECTOR DE PAIS</t>
  </si>
  <si>
    <t>GOMEZ AQUINO, LUZ MARIA</t>
  </si>
  <si>
    <t>HERNANDEZ CAN, AXLING ESTIBALY</t>
  </si>
  <si>
    <t>GONZALEZ BUSTILLO, FRANCIS GALILEA</t>
  </si>
  <si>
    <t>GUZMAN MELENDEZ, DULCE MARIA</t>
  </si>
  <si>
    <t>DE LEON URIZAR, ANA SOPHIA</t>
  </si>
  <si>
    <t>TRAINEE</t>
  </si>
  <si>
    <t>VILLATORO GUZMAN, VIVIAN VALESCKA</t>
  </si>
  <si>
    <t>MARTINEZ, ANGY ESTENAFI</t>
  </si>
  <si>
    <t>OLAVERRI ESCOBAR, JEAN PAUL ANDREE</t>
  </si>
  <si>
    <t>JUAREZ RAMIREZ, ELSA YORLENY</t>
  </si>
  <si>
    <t>DUARTE MARROQUIN, JEHIMI YORLENNY</t>
  </si>
  <si>
    <t>ORTIZ TORRES, BRILLITH ALEXANDRA</t>
  </si>
  <si>
    <t>PEÑA HERNANDEZ, LURDES MARIA</t>
  </si>
  <si>
    <t>PIRIR ALARCON, LEEDY NATALIA</t>
  </si>
  <si>
    <t>REVOLORIO REYES, ALISSON RAQUEL</t>
  </si>
  <si>
    <t>REYES SUN, FATIMA YORSGINA</t>
  </si>
  <si>
    <t>ESPADA CASTRO, ZAMYRHA JULIANNE</t>
  </si>
  <si>
    <t>LOPEZ TORTOLA, MANUEL ADOLFO</t>
  </si>
  <si>
    <t>MONTENEGRO RODRIGUEZ, SANDY YAMMILETH</t>
  </si>
  <si>
    <t>PORTILLO MORALES, ABNER HUMBERTO</t>
  </si>
  <si>
    <t>LOPEZ LARA, LILIAN GABRIELA</t>
  </si>
  <si>
    <t>LOPEZ MONTERROSO, LUIS ANGEL WILFREDO</t>
  </si>
  <si>
    <t>RAMOS AJANEL, FRANKLIN DEREK</t>
  </si>
  <si>
    <t>RODAS GALVEZ, MARYORI ANAHI</t>
  </si>
  <si>
    <t>RODAS ROSALES, JONATHAN ANDRE</t>
  </si>
  <si>
    <t>MEDA RAYMUNDO, CRISTIAN FRANCISCO</t>
  </si>
  <si>
    <t>RIVAS RUANO, DANNA SCULLY ELIZABETH</t>
  </si>
  <si>
    <t>MONTERROSO CHAJON, DAYLIN MARIFER</t>
  </si>
  <si>
    <t>RIVERA GOMEZ, TOMAS ENRIQUE</t>
  </si>
  <si>
    <t>YOC GAMEZ, MARIANA DE LOS ANGELES</t>
  </si>
  <si>
    <t>SABAN RUCH, DIEGO LEONEL</t>
  </si>
  <si>
    <t>SEQUEN BARRIOS, JACKELINE SOPHIA</t>
  </si>
  <si>
    <t>MUÑOZ MORALES, MILVIA MAGALI</t>
  </si>
  <si>
    <t>PEREZ VIRULA, DILAN ARMANDO</t>
  </si>
  <si>
    <t>SAC GONZALEZ, JAMMY ISMARY</t>
  </si>
  <si>
    <t>SANCHEZ GUZMÁN, JEFFREY AARON</t>
  </si>
  <si>
    <t>SOMARRIBA CHEVEZ, ANA MERCEDES</t>
  </si>
  <si>
    <t>SOTO JOPIN, KEILA ALEXANDRA</t>
  </si>
  <si>
    <t>SOLIS RODRIGUEZ, KENIA EUNICE</t>
  </si>
  <si>
    <t>TOVAR CARBAJAL, WELLYNGTON SEBASTIAN</t>
  </si>
  <si>
    <t>TOBAR HERNANDEZ, VICTORIA ELIZABETH</t>
  </si>
  <si>
    <t>Honduras</t>
  </si>
  <si>
    <t>TIENDA BERSHKA SAN PEDRO SULA</t>
  </si>
  <si>
    <t>AGUILAR LOPEZ, KAROL ALEXANDRA</t>
  </si>
  <si>
    <t>GARCIA MUÑOZ, REBECA</t>
  </si>
  <si>
    <t>AGUILERA OVIEDO, ESTRELLA NICOLLE</t>
  </si>
  <si>
    <t>CHIRINOS PALOMO, ANDRES ISAAC</t>
  </si>
  <si>
    <t>ESPINOZA ESCOTO, JOSUE ALEXANDER</t>
  </si>
  <si>
    <t>GERENCIA DE PAIS FRANQUICIAS HONDURAS</t>
  </si>
  <si>
    <t>MENDIZABAL RUIZ, NORMA PAOLA</t>
  </si>
  <si>
    <t>GUILLEN SABILLON, JOSUÉ DAVID</t>
  </si>
  <si>
    <t>NAVARRETE ALTAMIRANO, LUIS GUSTAVO</t>
  </si>
  <si>
    <t>PAZ SERRANO, NILSER STEPHANNIE</t>
  </si>
  <si>
    <t>PINEDA AGUERO, GENESIS ABIGAIL</t>
  </si>
  <si>
    <t>REYES GUTIERREZ, MAXWELL JOSE</t>
  </si>
  <si>
    <t>RIOS SANCHEZ, HENRY JOSIAS</t>
  </si>
  <si>
    <t>SALGADO MARTEL, ROXANA NATHALY</t>
  </si>
  <si>
    <t>TIENDA BERSHKA TEGUCIGALPA</t>
  </si>
  <si>
    <t>AMADOR ALVARADO, HEYDI RUBENIA</t>
  </si>
  <si>
    <t>CALIX AVILA, WILMER JOSUE</t>
  </si>
  <si>
    <t>ARIAS SANCHEZ, JENNIFER ELIZABETH</t>
  </si>
  <si>
    <t>AVILA OSORTO, ARLETH JATZIRY</t>
  </si>
  <si>
    <t>FLORES OLIVA, DARWIN JAVIER</t>
  </si>
  <si>
    <t>FLORES ULLOA, VELKIS MELISSA</t>
  </si>
  <si>
    <t>MANCIA ALVARADO, JOSEPH STIWART</t>
  </si>
  <si>
    <t>MARROQUIN MURCIA, ROBERTO CARLOS</t>
  </si>
  <si>
    <t>MARTINEZ BETANCOURTH, CINDY JOHANNA</t>
  </si>
  <si>
    <t>MATUTE GONZALES, CRISTHIAN ARIEL</t>
  </si>
  <si>
    <t>MEJIA REYES, CARLOS FERNANDO</t>
  </si>
  <si>
    <t>PINO SALGADO, VICTOR DAVID</t>
  </si>
  <si>
    <t>PONCE VELASQUEZ, SAMANTHA ISABEL</t>
  </si>
  <si>
    <t>RAMOS MAIRENA, DANIELA MICHELLE</t>
  </si>
  <si>
    <t>SANCHEZ RODRÍGUEZ, OSCAR NAHUN</t>
  </si>
  <si>
    <t>VELASQUEZ ORELLANA, ERNESTO ENRIQUE</t>
  </si>
  <si>
    <t>ZUNIGA SERRANO, DILCIA NICOLE</t>
  </si>
  <si>
    <t>TIENDA MASSIMO DUTTI TEGUCIGALPA</t>
  </si>
  <si>
    <t>AVILA RODRIGUEZ, RISCHELL ANAHELY</t>
  </si>
  <si>
    <t>ZUNIGA SOLIS, EVA ALEJANDRA</t>
  </si>
  <si>
    <t>BROWN MEJIA, KEVIN PAUL</t>
  </si>
  <si>
    <t>HERNANDEZ ELVIR, JORGE VINICIO</t>
  </si>
  <si>
    <t>MARADIAGA CENTENO, LISSBETH ALEXANDRA</t>
  </si>
  <si>
    <t>MARTINEZ PONCE, JULISSA MICHELLE</t>
  </si>
  <si>
    <t>PANIAGUA LICONA, ZOILA ONDINA</t>
  </si>
  <si>
    <t>SIERRA ELVIR, JOSE MIGUEL</t>
  </si>
  <si>
    <t>VENTURA RIVERA, JESUAN DAVID</t>
  </si>
  <si>
    <t>TIENDA OYSHO TEGUCIGALPA</t>
  </si>
  <si>
    <t>LOPEZ HERRERA, ANDREA NICOL</t>
  </si>
  <si>
    <t>MATAMOROS GARCIA, EVELYN IVETH</t>
  </si>
  <si>
    <t>MARTINEZ, MELANIA PINEDA</t>
  </si>
  <si>
    <t>MEZA FIALLOS, KARLA MICHELL</t>
  </si>
  <si>
    <t>MONCADA SANCHEZ, ANNY LIZETH</t>
  </si>
  <si>
    <t>SALINAS OCHOA, NATALY VANESSA</t>
  </si>
  <si>
    <t>ZAVALA CASTRO, ALEJANDRA MARIA</t>
  </si>
  <si>
    <t>TIENDA PULL AND BEAR SAN PEDRO SULA</t>
  </si>
  <si>
    <t>ALVARADO PAZ, ANA CRISTINA</t>
  </si>
  <si>
    <t>LOPEZ GALEANO, MANUEL ANTONIO</t>
  </si>
  <si>
    <t>AYALA CASTELLANOS, KIMBERLY PATRICIA</t>
  </si>
  <si>
    <t>FLORES FLORES, JAVIER ENRIQUE</t>
  </si>
  <si>
    <t>LANZA GUTIERREZ, HECTOR DANIEL</t>
  </si>
  <si>
    <t>LEIVA EUCEDA, JENNIFER JOHANA</t>
  </si>
  <si>
    <t>MADRID FERNANDEZ, DIEGO FERNANDO</t>
  </si>
  <si>
    <t>PALACIOS VILLANUEVA, CRISTHIAN JAIR</t>
  </si>
  <si>
    <t>RECINOS GUERRA, CHRISTIAN OMAR</t>
  </si>
  <si>
    <t>RODRIGUEZ HERRERA, ALEX NAIN</t>
  </si>
  <si>
    <t>ZUNIGA ZUNIGA, KIMBERLY NICOLLE</t>
  </si>
  <si>
    <t>TIENDA PULL AND BEAR TEGUCIGALPA</t>
  </si>
  <si>
    <t>ALFARO MALDONADO, ANA LUCIA</t>
  </si>
  <si>
    <t>GARRIDO ALMENDARES, ERICK JOSUE</t>
  </si>
  <si>
    <t>ANDINO RAMOS, URIEL NEHEMIAS</t>
  </si>
  <si>
    <t>CASTILLO ALIPPSON, LIA FERNANDA NAHOMY</t>
  </si>
  <si>
    <t>CRUZ RIVERA, EMILIO FERNANDO</t>
  </si>
  <si>
    <t>DOMINGUEZ COELLO, JENNIFER NICOL</t>
  </si>
  <si>
    <t>FUNEZ ALMENDAREZ, KEYLI MABEL</t>
  </si>
  <si>
    <t>HENRIQUEZ SANCHEZ, ANGEL EDUARDO</t>
  </si>
  <si>
    <t>ILIAS COELLO, SAMUEL ISAAC</t>
  </si>
  <si>
    <t>MARTINEZ URRUTIA, MEGGUY LETICIA</t>
  </si>
  <si>
    <t>MONCADA MATUTE, JULISSA JAHSSEL</t>
  </si>
  <si>
    <t>MORAZAN GARCIA, LISIS SUZETH</t>
  </si>
  <si>
    <t>MORENO GALO, JEFFRI ERASMO</t>
  </si>
  <si>
    <t>ROMERO REYES, PEDRO RENAN</t>
  </si>
  <si>
    <t>ZAMBRANO MEJIA, ALEJANDRA NICOL</t>
  </si>
  <si>
    <t>TIENDA STRADIVARIUS SAN PEDRO SULA</t>
  </si>
  <si>
    <t>AMAYA MALDONADO, NATHALY ABIGAIL</t>
  </si>
  <si>
    <t>CHINCHILLA FUENTES, VICKY JOHANA</t>
  </si>
  <si>
    <t>AYALA CASTELLANOS, SHEYLA ESPERANZA</t>
  </si>
  <si>
    <t>BAYDE DELCID, EDWIN GEOVANNY</t>
  </si>
  <si>
    <t>BETANCOURT ESPINOZA, HEIDY MICHELLE</t>
  </si>
  <si>
    <t>CASTILLO MARTINEZ, KATTY XIOMARA</t>
  </si>
  <si>
    <t>ENAMORADO FRANCO, CRISTOPHER JEANCARLO</t>
  </si>
  <si>
    <t>FLORES ROMERO, KENNETH JOSEPH</t>
  </si>
  <si>
    <t>HERNANDEZ VALDIVIEZO, VALLERY JORDANA</t>
  </si>
  <si>
    <t>JUAREZ RAMIREZ, KIMBERLY MICHELLE</t>
  </si>
  <si>
    <t>LOPEZ, ANABELL</t>
  </si>
  <si>
    <t>MALDONADO RODRIGUEZ, WILLIAN ISAAC</t>
  </si>
  <si>
    <t>MARTINEZ ESPINAL, KARINA ELIZABETH</t>
  </si>
  <si>
    <t>NUÑEZ CASTILLLO, JUAN CARLOS</t>
  </si>
  <si>
    <t>PEREZ DERAS, ENIXY YARELY</t>
  </si>
  <si>
    <t>SABILLON CASTRO, LENIN GUSTAVO</t>
  </si>
  <si>
    <t>SANDOVAL LOPEZ, GABRIELA DE LA SOLEDAD</t>
  </si>
  <si>
    <t>SOLIS CASTELLANOS, CLAUDIA MABEL</t>
  </si>
  <si>
    <t>TORRES ALVARENGA, GARY TARINEL</t>
  </si>
  <si>
    <t>TIENDA STRADIVARIUS TEGUCIGALPA</t>
  </si>
  <si>
    <t>BACA AMADOR, LISSY NICOLL</t>
  </si>
  <si>
    <t>HENRIQUEZ TORRES, ANDREA SARAHI</t>
  </si>
  <si>
    <t>BARAHONA RIVERA, ANA GABRIELA</t>
  </si>
  <si>
    <t>CASTILLO CASAÑA, ALLISON NAHOMY</t>
  </si>
  <si>
    <t>CASTRO LIZARDO, CRISTOPHER JOSE</t>
  </si>
  <si>
    <t>CRUZ BONILLA, KATIE JUDISSE</t>
  </si>
  <si>
    <t>ESPINAL SANCHEZ, JEIMY GUADALUPE</t>
  </si>
  <si>
    <t>FUNES AYALA, KATHERINE LIZETH</t>
  </si>
  <si>
    <t>FUNEZ VELASQUEZ, FRANKLIN ANTONIO</t>
  </si>
  <si>
    <t>GONZALES RAMOS, DENIS FERNANDO</t>
  </si>
  <si>
    <t>HERNANDEZ FLORES, NAYEILI YULISSA</t>
  </si>
  <si>
    <t>HERNANDEZ GUIFARRO, MARLON ALEXANDER</t>
  </si>
  <si>
    <t>NAVARRO ZUNIGA, DANIELA ALEJANDRA</t>
  </si>
  <si>
    <t>ORELLANA SANTOS, AMY MAYELA</t>
  </si>
  <si>
    <t>OSORIO OCHOA, AMBAR MARIELA</t>
  </si>
  <si>
    <t>PEREZ VALLEJO, CRISTOFFER ARIEL</t>
  </si>
  <si>
    <t>RAMIREZ VALLECILLO, EDUARDO ALEJANDRO</t>
  </si>
  <si>
    <t>SANTOS GARCIA, LOANI MARCELA</t>
  </si>
  <si>
    <t>SAUCEDA AGUILAR, DIANA ZULEMA</t>
  </si>
  <si>
    <t>SUAZO MANZANARES, DANIEL EDUARDO</t>
  </si>
  <si>
    <t>VARGAS ALEMAN, ESTELA CORINA</t>
  </si>
  <si>
    <t>TIENDA ZARA SAN PEDRO SULA</t>
  </si>
  <si>
    <t>ZARA CITY MALL SAN PEDRO SULA</t>
  </si>
  <si>
    <t>AGUILAR CHICAS, RAPHAEL GEORGE</t>
  </si>
  <si>
    <t>RODRIGUEZ BRIZUELA, SAYRA YASMIN</t>
  </si>
  <si>
    <t>ALMENDARES CRUZ, MIGUEL ROBERTO</t>
  </si>
  <si>
    <t>AMADOR SANCHEZ, ERIKA ABIGAIL</t>
  </si>
  <si>
    <t>BADOS REYES, ALICIA ALEJANDRA</t>
  </si>
  <si>
    <t>BARAHONA CRUZ, OSCAR RENE</t>
  </si>
  <si>
    <t>BAUTISTA ANARIBA, CRISTOPHER DAMIAN</t>
  </si>
  <si>
    <t>BENNETT SANTOS, KEREN SARAHI</t>
  </si>
  <si>
    <t>CANO ORELLANA, ANDREA ROSIBEL</t>
  </si>
  <si>
    <t>CARIAS NUÑEZ, MELISSA JOAN</t>
  </si>
  <si>
    <t>CARRERA GOMEZ, REBECA ALEJANDRA</t>
  </si>
  <si>
    <t>CASTRO MEJIA, NAHOMY GABRIELA</t>
  </si>
  <si>
    <t>CRUZ CASTRO, JAIRO ISIDRO</t>
  </si>
  <si>
    <t>CRUZ MEJIA, ANDREA YANINA</t>
  </si>
  <si>
    <t>DIAZ GONZALEZ, JOSÉ DANIEL</t>
  </si>
  <si>
    <t>DIAZ NUÑEZ, MARIO ENRIQUE</t>
  </si>
  <si>
    <t>DISCUA ARMIJO, ANGEL SAMUEL</t>
  </si>
  <si>
    <t>DUBON REYES, DULCE MARIA YAMILETH</t>
  </si>
  <si>
    <t>ESPINOZA OCAMPO, ANGEL LUIS</t>
  </si>
  <si>
    <t>FERNANDEZ PADILLA, ALISSON FABIOLA</t>
  </si>
  <si>
    <t>FIGUEROA TORRES, SERGIO JORKAEF</t>
  </si>
  <si>
    <t>FLORES LAINEZ, LIZZY MICHELLE</t>
  </si>
  <si>
    <t>GARCIA REYES, DAYSI CAROLINA</t>
  </si>
  <si>
    <t>GOMEZ SILVA, LORENA MICHELLE</t>
  </si>
  <si>
    <t>GUERRERO PORTILLO, EMELYN CLARETH</t>
  </si>
  <si>
    <t>GUEVARA MEJIA, JOSUE ALEJANDRO</t>
  </si>
  <si>
    <t>HERNANDEZ TERCERO, EDWIN NOEL</t>
  </si>
  <si>
    <t>IZAGUIRRE LOPEZ, IRMA ESTHEPANY</t>
  </si>
  <si>
    <t>JORDAN PINEDA, ANNETH IRENE</t>
  </si>
  <si>
    <t>LOPEZ AGUILAR, KEVIN EDGARDO</t>
  </si>
  <si>
    <t>LOPEZ HERNANDEZ, ELIAZAR DAVID</t>
  </si>
  <si>
    <t>LORENZO DIAZ, CRISTIAN JOSUE</t>
  </si>
  <si>
    <t>MADRID AGUILERA, ENOK MISAEL</t>
  </si>
  <si>
    <t>MALDONADO LAINEZ, KEVIN ALEJANDRO</t>
  </si>
  <si>
    <t>MARTINEZ LOPEZ, JONATHAN JOSUE</t>
  </si>
  <si>
    <t>MARTINEZ MARTINEZ, JOSE FERNANDO</t>
  </si>
  <si>
    <t>MARTINEZ VASQUEZ, DANIA ABIGAIL</t>
  </si>
  <si>
    <t>MEZA CASTRO, KELVIN FERNANDO</t>
  </si>
  <si>
    <t>MOLINA GOMEZ, CARMEN ALEJANDRA</t>
  </si>
  <si>
    <t>NUÑEZ MALDONADO, MARYELI IRIS ESTER</t>
  </si>
  <si>
    <t>OCHOA FLORES, FELIPE ANTONIO</t>
  </si>
  <si>
    <t>ORTIZ MUÑOZ, RODY OSMANY</t>
  </si>
  <si>
    <t>PACHECO MURILLO, HENRY D ALESSANDRO</t>
  </si>
  <si>
    <t>PACHECO ZELAYA, ALISSON DANIELA</t>
  </si>
  <si>
    <t>PAREDES MELGAR, JEISON ALFONSO</t>
  </si>
  <si>
    <t>PEÑA URBINA, EITAN JARED</t>
  </si>
  <si>
    <t>PERDOMO PUERTO, CRISTHIAN DANIEL</t>
  </si>
  <si>
    <t>PINTO ERAZO, EDWIN JONATHAN</t>
  </si>
  <si>
    <t>QUINTANILLA HERNANDEZ, IRIS BEATRIZ</t>
  </si>
  <si>
    <t>REYES ESCOTO, LUIS FERNANDO</t>
  </si>
  <si>
    <t>RIVERA FRANCO, LUIS GUSTAVO</t>
  </si>
  <si>
    <t>RIVERA FRANCO, VANGIEE POOLET</t>
  </si>
  <si>
    <t>RODRIGUEZ GUILLEN, JOSUE RAMON</t>
  </si>
  <si>
    <t>SANTOS MEJIA, KEVIN ANTONIO</t>
  </si>
  <si>
    <t>SERRANO REYES, BRAYAN FRANCISCO</t>
  </si>
  <si>
    <t>URQUIZA ALVARADO, DIEGO ALEJANDRO</t>
  </si>
  <si>
    <t>VASQUEZ ORTIZ, ELBA YAKELY</t>
  </si>
  <si>
    <t>ZAVALA PERDOMO, ALEJANDRA PAOLA</t>
  </si>
  <si>
    <t>TIENDA ZARA HOME TEGUCIGALPA</t>
  </si>
  <si>
    <t>ACOSTA CASTRO, KATHERIN YAMILETH</t>
  </si>
  <si>
    <t>AGUILERA VARGAS, SULEMA YINETH</t>
  </si>
  <si>
    <t>CRUZ ROSA, CESIA LISBETH</t>
  </si>
  <si>
    <t>FRANCO VALLADARES, GABRIEL ALEJANDRO</t>
  </si>
  <si>
    <t>LARA GUILLEN, RAFAEL LEONARDO</t>
  </si>
  <si>
    <t>MANZANARES GUTIERREZ, CHRISTOPHER DAVID</t>
  </si>
  <si>
    <t>MEZA CRUZ, JONATHAN ENMANUEL</t>
  </si>
  <si>
    <t>PORTILLO FLORES, SUZAN ANANY</t>
  </si>
  <si>
    <t>TIENDA ZARA TEGUCIGALPA</t>
  </si>
  <si>
    <t>ARTEAGA SAGASTUME, SARAH ABIGAIL</t>
  </si>
  <si>
    <t>MASCAREÑO MATUTE, CHRISTYAN ALEJANDRO</t>
  </si>
  <si>
    <t>BANEGAS VALLADARES, ASHLEE ABIGAIL</t>
  </si>
  <si>
    <t>BAQUEDANO GOMEZ, HESLER JOSEPH</t>
  </si>
  <si>
    <t>BARAHONA BARAHONA, NORMA MICHELL</t>
  </si>
  <si>
    <t>BUSTILLO ALVARENGA, JUNIOR DANIEL</t>
  </si>
  <si>
    <t>CANALES GODOY, NORLAN JOHAN</t>
  </si>
  <si>
    <t>CARDENAS LOPEZ, MARIA FERNANDA</t>
  </si>
  <si>
    <t>CARRANZA CARRANZA, MERQUE IRIS</t>
  </si>
  <si>
    <t>CASTRO GARCIA, DANIA GISSELI</t>
  </si>
  <si>
    <t>CERRATO RODRIGUEZ, YOLANI PAMELA</t>
  </si>
  <si>
    <t>CHAVEZ VILLANUEVA, MARIA ANTONIA</t>
  </si>
  <si>
    <t>CHIU CRUZ, JOMY LINY</t>
  </si>
  <si>
    <t>CILIEZAR VIJIL, KATHERINE MICHELLE</t>
  </si>
  <si>
    <t>COELLO VILLANUEVA, NATHALY FERNANDA</t>
  </si>
  <si>
    <t>COLINDRES ORTIZ, CESAR JOSUE</t>
  </si>
  <si>
    <t>CONTRERAS SUAZO, ANGIE MARIELA</t>
  </si>
  <si>
    <t>ELVIR SALGADO, REYES DONALDO</t>
  </si>
  <si>
    <t>ESPINAL MEZA, DAYARLIN VERENICE</t>
  </si>
  <si>
    <t>FLORES ELVIR, FRANCIS DANELIA</t>
  </si>
  <si>
    <t>FONSECA GARCIA, RICARDO ANTONIO</t>
  </si>
  <si>
    <t>GALEAS GALEAS, ANDERSON ILIE</t>
  </si>
  <si>
    <t>GALLO MEZA, FREDY JOSE</t>
  </si>
  <si>
    <t>GARCIA GONZALEZ, DILCIA LORELY</t>
  </si>
  <si>
    <t>GIRON PEREZ, IVIS NAHUM</t>
  </si>
  <si>
    <t>GODOY FLORES, EMELY DANIELA</t>
  </si>
  <si>
    <t>GODOY MEJÍA, HENRY SAMUEL</t>
  </si>
  <si>
    <t>GRANDEZ BERRIOS, STEFANNY NICOLE</t>
  </si>
  <si>
    <t>GUERRERO BEJARANO, ARGEL ALEJANDRA</t>
  </si>
  <si>
    <t>GUZMAN PERDOMO, JOSE FRANCISCO</t>
  </si>
  <si>
    <t>GUZMAN VALLADARES, BESSY LORENA</t>
  </si>
  <si>
    <t>HERNANDEZ TORRES, ALESSANDRO ESAU</t>
  </si>
  <si>
    <t>ILIAS COELLO, LUIS DANIEL</t>
  </si>
  <si>
    <t>LOPEZ ARCE, JASON JOAN</t>
  </si>
  <si>
    <t>LOPEZ MARTINEZ, NAZARET NOHEMY</t>
  </si>
  <si>
    <t>MAIRENA AVILA, BESSI LORENA</t>
  </si>
  <si>
    <t>MARTINEZ AZUCENA, CRISTIAN ALFONSO</t>
  </si>
  <si>
    <t>MARTINEZ CRUZ, MAYCOL ALEXIS</t>
  </si>
  <si>
    <t>MEZA CHÁVEZ, DANNY EDGARDO</t>
  </si>
  <si>
    <t>MORALES, CARLOS EDUARDO</t>
  </si>
  <si>
    <t>NUÑEZ DOMINGUEZ, WENDY MARISELA</t>
  </si>
  <si>
    <t>OBANDO ESPINOZA, ANNY MARISOL</t>
  </si>
  <si>
    <t>ORDOÑEZ LAINEZ, ZARELA MICHELLE</t>
  </si>
  <si>
    <t>ORDOÑEZ VARGAS, ASLY VALERIA</t>
  </si>
  <si>
    <t>ORTIZ BAQUIZ, OSMAN ORLANDO</t>
  </si>
  <si>
    <t>OSORIO ALVARADO, EMELY ELIZABETH</t>
  </si>
  <si>
    <t>PADILLA FERRUFINO, ELOISA NICOLLE</t>
  </si>
  <si>
    <t>PALENCIA HERNANDEZ, AARON EZEQUIEL</t>
  </si>
  <si>
    <t>PEREZ GARCIA, JOSUE GABRIEL</t>
  </si>
  <si>
    <t>POCASANGRE PEÑA, ISIS ARELY</t>
  </si>
  <si>
    <t>RAMIREZ, ESTEFANY ADAMARIS</t>
  </si>
  <si>
    <t>REYES FUNES, MIGUEL ANTONIO</t>
  </si>
  <si>
    <t>REYES SANCHEZ, MIGUEL ALEJANDRO</t>
  </si>
  <si>
    <t>ROJAS GALO, LISSY ALEXANDRA</t>
  </si>
  <si>
    <t>ROMERO ROQUE, KENETH FERNANDO</t>
  </si>
  <si>
    <t>SAGASTUME, ANDREA VALERIA</t>
  </si>
  <si>
    <t>SALGADO BANEGAS, EDUARDO FABRICIO</t>
  </si>
  <si>
    <t>SANABRIA ANDINO, JOSE FRANCISCO</t>
  </si>
  <si>
    <t>ENCARGADO(A)  DE SEÑORA</t>
  </si>
  <si>
    <t>SANDRES CHAVARRIA, CARLOS GABRIEL</t>
  </si>
  <si>
    <t>SARMIENTO NÚÑEZ, IRIS MICHELL</t>
  </si>
  <si>
    <t>SOLORZANO MARTINEZ, YOSELIN FABIOLA</t>
  </si>
  <si>
    <t>SORTO SAUCEDA, KEINOR FRANSUA</t>
  </si>
  <si>
    <t>SOTO ANDRADE, ALLAN EDGARDO</t>
  </si>
  <si>
    <t>TRUJILLO ZEPEDA, GISELA YADIRA</t>
  </si>
  <si>
    <t>UMANZOR BAUTISTA, GENESIS NOHEMI</t>
  </si>
  <si>
    <t>VALLECILLO CHACON, OSMIN RODRIGO</t>
  </si>
  <si>
    <t>VARGAS MEJIA, RONAL ANTONIO</t>
  </si>
  <si>
    <t>ZAVALA AVILES, EVELIN NICOL</t>
  </si>
  <si>
    <t>ZAVALA BARAHONA, SERGIO ALEJANDRO</t>
  </si>
  <si>
    <t>Nicaragua</t>
  </si>
  <si>
    <t>TIENDA BERSHKA SANTO DOMINGO</t>
  </si>
  <si>
    <t>BERSHKA SANTO DOMINGO</t>
  </si>
  <si>
    <t>ARIAS ZAPATA, NAOMY RACHEL</t>
  </si>
  <si>
    <t>MONTIEL GARCIA, ESPERANZA DEL CARMEN DE JESUS</t>
  </si>
  <si>
    <t>BAQUEDANO GONZALEZ, DEBORAH SARAI</t>
  </si>
  <si>
    <t>ESCOBAR AROSTEGUI, EMELY YOCASTA</t>
  </si>
  <si>
    <t>ESPINOZA CALERO, JANELA NAMED</t>
  </si>
  <si>
    <t>GERENCIA DE PAIS FRANQUICIAS NICARAGUA</t>
  </si>
  <si>
    <t>ESPINOZA ROQUE, EYRA ADELINA</t>
  </si>
  <si>
    <t>SANDOVAL GONZALEZ, JAZMINA MARIA</t>
  </si>
  <si>
    <t>ESPINOZA SILVA, TAMARA ELIZABETH</t>
  </si>
  <si>
    <t>GARCIA ANGULO, JOSEPH MARTIN</t>
  </si>
  <si>
    <t>GOMEZ ZAPATA, ARMANDO JOSE</t>
  </si>
  <si>
    <t>HERNANDEZ NAVARRO, RAFAEL FRANCISCO</t>
  </si>
  <si>
    <t>LOPEZ GUTIERREZ, ENGEL GABRIEL</t>
  </si>
  <si>
    <t>PORRAS ROSALES, JADE JASHUARA</t>
  </si>
  <si>
    <t>ROSALES ALVARADO, EDUARDO ANTONIO</t>
  </si>
  <si>
    <t>AUXILIAR DE CONTROL DE INVENTARIOS FRANQUINCIAS</t>
  </si>
  <si>
    <t>TIENDA PULL AND BEAR SANTO DOMINGO</t>
  </si>
  <si>
    <t>ARIAS HERRERA, HILDA LISSETTE</t>
  </si>
  <si>
    <t>PEREZ PEREZ, ENEYDA DE LA CONCEPCION</t>
  </si>
  <si>
    <t>CASCO, CRHISTIAN JOSE</t>
  </si>
  <si>
    <t>LACAYO CUADRA, EFRAIN GABRIEL</t>
  </si>
  <si>
    <t>LATINO ARIAS, MOISES HERIBERTO</t>
  </si>
  <si>
    <t>MALTEZ VALLE, ALEXANDER FRANCISCO</t>
  </si>
  <si>
    <t>ORDOÑEZ, CRISTHOPER JOSUE</t>
  </si>
  <si>
    <t>PICHARDO GONZALEZ, VALERIA MARISOL</t>
  </si>
  <si>
    <t>SALVATIERRA SUAREZ, NORMA LISSETH</t>
  </si>
  <si>
    <t>TORRES BERMUDEZ, AMMY NICOLE</t>
  </si>
  <si>
    <t>TORREZ OBANDO, WILFREDO ANDRES</t>
  </si>
  <si>
    <t>URBINA HUEMBES, LILLIBETH PAMELA</t>
  </si>
  <si>
    <t>VANEGAS LOPEZ, GABRIEL ORLANDO</t>
  </si>
  <si>
    <t>TIENDA STRADIVARIUS SANTO DOMINGO</t>
  </si>
  <si>
    <t>ALMEIDA LAZO, MARIA JOSE</t>
  </si>
  <si>
    <t>GUZMAN PINEDA, DELIA DEL ROSARIO</t>
  </si>
  <si>
    <t>BONILLA JUAREZ, KAREN ELLIET</t>
  </si>
  <si>
    <t>CASTAÑO BETETA, KEYLA NICOLE</t>
  </si>
  <si>
    <t>CRUZ OLIVAS, FRED JOSE</t>
  </si>
  <si>
    <t>GOMEZ URRUTIA, RUDY ARIEL</t>
  </si>
  <si>
    <t>HERRERA ZELEDON, KAROLINA MASIEL</t>
  </si>
  <si>
    <t>JACAMO LOPEZ, CARLOS JOSE</t>
  </si>
  <si>
    <t>JARQUIN JEREZ, ANA SUYEN</t>
  </si>
  <si>
    <t>MARTINEZ GUTIERREZ, RIGBI LENIN</t>
  </si>
  <si>
    <t>MONDRAGON CENTENO, NATALIA AZUCENA</t>
  </si>
  <si>
    <t>OSORIO CASTILLO, JOSE ALFREDO</t>
  </si>
  <si>
    <t>RODRIGUEZ DURAN, YENSI TATIANA</t>
  </si>
  <si>
    <t>ROSALES, LENIN BENJAMIN</t>
  </si>
  <si>
    <t>SANCHEZ DINARTE, DANIEL ALEXANDER</t>
  </si>
  <si>
    <t>TIENDA ZARA SANTO DOMINGO</t>
  </si>
  <si>
    <t>AGUILAR URRUTIA, JULIO ABRAHAM</t>
  </si>
  <si>
    <t>FLORES GUILLEN, JENIFFER KASSANDRA</t>
  </si>
  <si>
    <t>AGUINAGA CHAVARRIA, JOSE NOEL</t>
  </si>
  <si>
    <t>ALVAREZ HERNANDEZ, KEVIN YOSUE</t>
  </si>
  <si>
    <t>ARAGON SALGADO, VANESSA MICHELLE</t>
  </si>
  <si>
    <t>ARCIA GUERRERO, MARCOS MANUEL</t>
  </si>
  <si>
    <t>AVENDANO OBREGON, LILLIAM FERNANDA</t>
  </si>
  <si>
    <t>BERMUDEZ DUARTE, WILBER ALEJANDRO</t>
  </si>
  <si>
    <t>BERMUDEZ GUTIERREZ, ABRAHAN ALEJANDRO</t>
  </si>
  <si>
    <t>CARVAJAL MENDOZA, CARLOS ANTONIO</t>
  </si>
  <si>
    <t>CASTILLO BORGE, EMELLY CECIATH</t>
  </si>
  <si>
    <t>CHAVEZ ESCOBAR, ZIRETH NAILEA</t>
  </si>
  <si>
    <t>COREA SERRANO, MELANIE LORENZ</t>
  </si>
  <si>
    <t>CRUZ VELASQUEZ, SCARLETH MINERVA</t>
  </si>
  <si>
    <t>DUARTE CASTILLO, CARLOS EDUARDO</t>
  </si>
  <si>
    <t>ESPINALES CANALES, NILTON ARIEL</t>
  </si>
  <si>
    <t>GONZALEZ DELGADO, INDIRA DEL CARMEN</t>
  </si>
  <si>
    <t>HERNANDEZ GONZALEZ, JIRESH ISRAEL</t>
  </si>
  <si>
    <t>LEZAMA LOPEZ, RAYMAN ESTARLY</t>
  </si>
  <si>
    <t>LOPEZ DIAZ, BRAYAN JOSE</t>
  </si>
  <si>
    <t>LOPEZ HERRERA, JOSE JAVIER</t>
  </si>
  <si>
    <t>LOZANO BALTODANO, STEVEN DE JESUS</t>
  </si>
  <si>
    <t>MAIRENA SIEZAR, KATHERINE ANDREA</t>
  </si>
  <si>
    <t>MARCHENA MERCADO, ALLAN BANEXELL</t>
  </si>
  <si>
    <t>MARTINEZ OROZCO, JOSSELINE ISELA</t>
  </si>
  <si>
    <t>MEJIA GOMEZ, MICHAEL JOSUE</t>
  </si>
  <si>
    <t>MEJIA LAINEZ, RINA MARCELA</t>
  </si>
  <si>
    <t>MERCADO TALAVERA, MILENA MAJELA</t>
  </si>
  <si>
    <t>MIDENCE CORREA, EDUARDO ANTONIO</t>
  </si>
  <si>
    <t>MURILLO HODGSON, IONA ESPERANZA</t>
  </si>
  <si>
    <t>OROZCO TELLERIA, IRIS VIOLETA</t>
  </si>
  <si>
    <t>PALACIOS GONZALEZ, EVELING MARIA</t>
  </si>
  <si>
    <t>PEREZ CHAVARRIA, NAOMI RENEE</t>
  </si>
  <si>
    <t>PEREZ MANZANARES, MOISES ANTONIO</t>
  </si>
  <si>
    <t>PINEDA RODRIGUEZ, RUBEN BENJAMIN</t>
  </si>
  <si>
    <t>PINEDA, GABRIEL EMILIO</t>
  </si>
  <si>
    <t>SANCHEZ TRAÑA, EDUARDO MIGUEL</t>
  </si>
  <si>
    <t>SANDERS MONROY, WISTON ALBERTO</t>
  </si>
  <si>
    <t>SANDOVAL PICADO, JULISSA FRANCELA</t>
  </si>
  <si>
    <t>SANTOS CHAVARRIA, ALEJANDRO MANUEL</t>
  </si>
  <si>
    <t>SERRANO GUERRERO, KELLI SINAHI</t>
  </si>
  <si>
    <t>URBINA SANTAMARIA, FATIMA DEL ROSARIO</t>
  </si>
  <si>
    <t>ZAMBRANA RIVERA, LISBETH GISSEL</t>
  </si>
  <si>
    <t>ZUNIGA DAVILA, MASSIEL STEFANY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</si>
</sst>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1" fillId="0" borderId="0" xfId="0" applyFont="1"/>
    <xf numFmtId="14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94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iris Moran Cuellar" refreshedDate="46119.931207407404" createdVersion="8" refreshedVersion="8" minRefreshableVersion="3" recordCount="12" xr:uid="{F9F9734B-B476-41EC-BC7E-DB2415FBC7FB}">
  <cacheSource type="worksheet">
    <worksheetSource name="OfficeForms.Table"/>
  </cacheSource>
  <cacheFields count="100">
    <cacheField name="Id" numFmtId="0">
      <sharedItems containsString="0" containsBlank="1" containsNumber="1" containsInteger="1" minValue="1" maxValue="9"/>
    </cacheField>
    <cacheField name="Column1" numFmtId="0">
      <sharedItems containsMixedTypes="1" containsNumber="1" containsInteger="1" minValue="0" maxValue="0"/>
    </cacheField>
    <cacheField name="Hora de inicio" numFmtId="22">
      <sharedItems containsNonDate="0" containsDate="1" containsString="0" containsBlank="1" minDate="2026-03-27T12:12:13" maxDate="2026-04-07T14:19:58"/>
    </cacheField>
    <cacheField name="Hora de finalización" numFmtId="22">
      <sharedItems containsNonDate="0" containsDate="1" containsString="0" containsBlank="1" minDate="2026-03-27T12:13:08" maxDate="2026-04-07T14:21:20"/>
    </cacheField>
    <cacheField name="Correo electrónico" numFmtId="0">
      <sharedItems containsBlank="1"/>
    </cacheField>
    <cacheField name="Nombre" numFmtId="0">
      <sharedItems containsBlank="1" count="4">
        <s v="Osiris Gabriel Moran Cuellar"/>
        <s v="Cindy Johanna Martinez Betancourt"/>
        <s v="Stephanie Lizeth Ballina Perez"/>
        <m/>
      </sharedItems>
    </cacheField>
    <cacheField name="NOMBRE COMPLETO (ENCAGADO DE RH O RECLUTAMIENTO)" numFmtId="0">
      <sharedItems containsBlank="1"/>
    </cacheField>
    <cacheField name="ID DE COLABORADOR DEL EMPLEADO A ENTREVISTAR" numFmtId="0">
      <sharedItems containsBlank="1" containsMixedTypes="1" containsNumber="1" containsInteger="1" minValue="1234" maxValue="3607801"/>
    </cacheField>
    <cacheField name="SELECCIONA EL PAÍS." numFmtId="0">
      <sharedItems containsBlank="1" count="5">
        <s v="SV"/>
        <s v="HO"/>
        <s v="CR"/>
        <m/>
        <s v="GT"/>
      </sharedItems>
    </cacheField>
    <cacheField name="TIENDAS EN EL SALVADOR" numFmtId="0">
      <sharedItems containsBlank="1" count="3">
        <s v="ZARA LA GRAN VIA"/>
        <m/>
        <s v="BERSHKA LA GRAN VIA"/>
      </sharedItems>
    </cacheField>
    <cacheField name="BERSHKA GALERIAS" numFmtId="0">
      <sharedItems containsNonDate="0" containsString="0" containsBlank="1"/>
    </cacheField>
    <cacheField name="LA GRAN VIA" numFmtId="0">
      <sharedItems containsBlank="1"/>
    </cacheField>
    <cacheField name="OFICINAS CORPORATIVAS" numFmtId="0">
      <sharedItems containsNonDate="0" containsString="0" containsBlank="1"/>
    </cacheField>
    <cacheField name="FLYING TIGER" numFmtId="0">
      <sharedItems containsNonDate="0" containsString="0" containsBlank="1"/>
    </cacheField>
    <cacheField name="OYSHO LA GRAN VIA" numFmtId="0">
      <sharedItems containsNonDate="0" containsString="0" containsBlank="1"/>
    </cacheField>
    <cacheField name="PACKING SV" numFmtId="0">
      <sharedItems containsNonDate="0" containsString="0" containsBlank="1"/>
    </cacheField>
    <cacheField name="PULL AND BEAR GALERIAS" numFmtId="0">
      <sharedItems containsNonDate="0" containsString="0" containsBlank="1"/>
    </cacheField>
    <cacheField name="PULL AND BEAR LA GRAN VIA" numFmtId="0">
      <sharedItems containsNonDate="0" containsString="0" containsBlank="1"/>
    </cacheField>
    <cacheField name="STRAVARIUS GALERIAS" numFmtId="0">
      <sharedItems containsNonDate="0" containsString="0" containsBlank="1"/>
    </cacheField>
    <cacheField name="STRADIVARIUS LA GRAN VIA" numFmtId="0">
      <sharedItems containsNonDate="0" containsString="0" containsBlank="1"/>
    </cacheField>
    <cacheField name="ZARA LA GRAN VIA" numFmtId="0">
      <sharedItems containsBlank="1"/>
    </cacheField>
    <cacheField name="SELECCIONA TU TIENDA EN GUATEMALA" numFmtId="0">
      <sharedItems containsBlank="1"/>
    </cacheField>
    <cacheField name="BSK MIRAFLORES" numFmtId="0">
      <sharedItems containsNonDate="0" containsString="0" containsBlank="1"/>
    </cacheField>
    <cacheField name="BSK OAKLAND" numFmtId="0">
      <sharedItems containsBlank="1"/>
    </cacheField>
    <cacheField name="BSK PRADERA CONCEPCCIÓN" numFmtId="0">
      <sharedItems containsNonDate="0" containsString="0" containsBlank="1"/>
    </cacheField>
    <cacheField name="OFICINAS CORPORATIVAS1" numFmtId="0">
      <sharedItems containsNonDate="0" containsString="0" containsBlank="1"/>
    </cacheField>
    <cacheField name="MASSIMO DUTTI" numFmtId="0">
      <sharedItems containsBlank="1"/>
    </cacheField>
    <cacheField name="OYSHO OAKLAND" numFmtId="0">
      <sharedItems containsNonDate="0" containsString="0" containsBlank="1"/>
    </cacheField>
    <cacheField name="PACKING GT" numFmtId="0">
      <sharedItems containsNonDate="0" containsString="0" containsBlank="1"/>
    </cacheField>
    <cacheField name="PULL AND BEAR MIRAFLORES" numFmtId="0">
      <sharedItems containsNonDate="0" containsString="0" containsBlank="1"/>
    </cacheField>
    <cacheField name="PULL AND BEAR OAKLAND" numFmtId="0">
      <sharedItems containsNonDate="0" containsString="0" containsBlank="1"/>
    </cacheField>
    <cacheField name="PULL AND BEAR PRADERA CONCEPCIÓN" numFmtId="0">
      <sharedItems containsNonDate="0" containsString="0" containsBlank="1"/>
    </cacheField>
    <cacheField name="STRADIVARIUS MIRAFLORES" numFmtId="0">
      <sharedItems containsNonDate="0" containsString="0" containsBlank="1"/>
    </cacheField>
    <cacheField name="STRADIVARIUS OAKLAND" numFmtId="0">
      <sharedItems containsNonDate="0" containsString="0" containsBlank="1"/>
    </cacheField>
    <cacheField name="STRADIVARIUS PRADERA CONCEPCIÓN" numFmtId="0">
      <sharedItems containsNonDate="0" containsString="0" containsBlank="1"/>
    </cacheField>
    <cacheField name="ZARA HOME GT" numFmtId="0">
      <sharedItems containsNonDate="0" containsString="0" containsBlank="1"/>
    </cacheField>
    <cacheField name="ZARA MIRAFLORES" numFmtId="0">
      <sharedItems containsNonDate="0" containsString="0" containsBlank="1"/>
    </cacheField>
    <cacheField name="ZARA OAKLAND" numFmtId="0">
      <sharedItems containsNonDate="0" containsString="0" containsBlank="1"/>
    </cacheField>
    <cacheField name="ZARA PRADERA CONCEPCIÓN" numFmtId="0">
      <sharedItems containsNonDate="0" containsString="0" containsBlank="1"/>
    </cacheField>
    <cacheField name="SELECCIONA LA TIENDA EN HONDURAS" numFmtId="0">
      <sharedItems containsBlank="1"/>
    </cacheField>
    <cacheField name="BSK SAN PEDRO SULA" numFmtId="0">
      <sharedItems containsNonDate="0" containsString="0" containsBlank="1"/>
    </cacheField>
    <cacheField name="BSK TEGUCIGALPA" numFmtId="0">
      <sharedItems containsBlank="1"/>
    </cacheField>
    <cacheField name="MASSIMO DUTTI TEGUCIGALPA" numFmtId="0">
      <sharedItems containsNonDate="0" containsString="0" containsBlank="1"/>
    </cacheField>
    <cacheField name="OYSHO TEGUCIGALPA" numFmtId="0">
      <sharedItems containsNonDate="0" containsString="0" containsBlank="1"/>
    </cacheField>
    <cacheField name="PULL AND BEAR SAN PEDRO SULA" numFmtId="0">
      <sharedItems containsNonDate="0" containsString="0" containsBlank="1"/>
    </cacheField>
    <cacheField name="PULL AND BEAR TEGUCIGALPA" numFmtId="0">
      <sharedItems containsNonDate="0" containsString="0" containsBlank="1"/>
    </cacheField>
    <cacheField name="STRADIVARIUS SAN PEDRO SULA" numFmtId="0">
      <sharedItems containsNonDate="0" containsString="0" containsBlank="1"/>
    </cacheField>
    <cacheField name="STRADIVARIUS TEGUCIGALPA" numFmtId="0">
      <sharedItems containsNonDate="0" containsString="0" containsBlank="1"/>
    </cacheField>
    <cacheField name="ZARA CITY MALL" numFmtId="0">
      <sharedItems containsNonDate="0" containsString="0" containsBlank="1"/>
    </cacheField>
    <cacheField name="ZARA HOME TEGUCIGALPA" numFmtId="0">
      <sharedItems containsNonDate="0" containsString="0" containsBlank="1"/>
    </cacheField>
    <cacheField name="ZARA TEGUCIGALPA" numFmtId="0">
      <sharedItems containsNonDate="0" containsString="0" containsBlank="1"/>
    </cacheField>
    <cacheField name="SELECCIONA TU TIENDA EN NICARAGUA" numFmtId="0">
      <sharedItems containsNonDate="0" containsString="0" containsBlank="1"/>
    </cacheField>
    <cacheField name="BSK SANTO DOMINGO" numFmtId="0">
      <sharedItems containsNonDate="0" containsString="0" containsBlank="1"/>
    </cacheField>
    <cacheField name="PULL AND BEAR SANTO DOMINGO" numFmtId="0">
      <sharedItems containsNonDate="0" containsString="0" containsBlank="1"/>
    </cacheField>
    <cacheField name="STRADIVARIUS SANTO DOMINGO" numFmtId="0">
      <sharedItems containsNonDate="0" containsString="0" containsBlank="1"/>
    </cacheField>
    <cacheField name="ZARA SANTO DOMINGO" numFmtId="0">
      <sharedItems containsNonDate="0" containsString="0" containsBlank="1"/>
    </cacheField>
    <cacheField name="SELECCIONA LA TIENDA DE COSTA RICA" numFmtId="0">
      <sharedItems containsBlank="1"/>
    </cacheField>
    <cacheField name="BERSHKA MULTIPLAZA DEL ESTE" numFmtId="0">
      <sharedItems containsNonDate="0" containsString="0" containsBlank="1"/>
    </cacheField>
    <cacheField name="BSK MULTIPLAZA ESCAZU" numFmtId="0">
      <sharedItems containsNonDate="0" containsString="0" containsBlank="1"/>
    </cacheField>
    <cacheField name="ZARA HOME COSTA RICA" numFmtId="0">
      <sharedItems containsNonDate="0" containsString="0" containsBlank="1"/>
    </cacheField>
    <cacheField name="MASSIMO DUTTI ESCAZU" numFmtId="0">
      <sharedItems containsBlank="1"/>
    </cacheField>
    <cacheField name="OFICINAS CR" numFmtId="0">
      <sharedItems containsNonDate="0" containsString="0" containsBlank="1"/>
    </cacheField>
    <cacheField name="OYSHO ESCAZU" numFmtId="0">
      <sharedItems containsNonDate="0" containsString="0" containsBlank="1"/>
    </cacheField>
    <cacheField name="PULL AND BEAR DEL ESTE" numFmtId="0">
      <sharedItems containsNonDate="0" containsString="0" containsBlank="1"/>
    </cacheField>
    <cacheField name="PULL AND BEAR ESCAZU" numFmtId="0">
      <sharedItems containsNonDate="0" containsString="0" containsBlank="1"/>
    </cacheField>
    <cacheField name="STRADIVARIUS DEL ESTE" numFmtId="0">
      <sharedItems containsBlank="1"/>
    </cacheField>
    <cacheField name="STRADIVARIUS ESCAZU" numFmtId="0">
      <sharedItems containsNonDate="0" containsString="0" containsBlank="1"/>
    </cacheField>
    <cacheField name="ZARA DEL ESTE" numFmtId="0">
      <sharedItems containsNonDate="0" containsString="0" containsBlank="1"/>
    </cacheField>
    <cacheField name="ZARA ESCAZU" numFmtId="0">
      <sharedItems containsNonDate="0" containsString="0" containsBlank="1"/>
    </cacheField>
    <cacheField name="SELECCIONA EL CONTACTO" numFmtId="0">
      <sharedItems containsBlank="1"/>
    </cacheField>
    <cacheField name="ESCRIBE EL CODIGO DE COLABORADOR" numFmtId="0">
      <sharedItems containsBlank="1"/>
    </cacheField>
    <cacheField name="Se Sintió Bienvenido" numFmtId="0">
      <sharedItems containsBlank="1" count="3">
        <s v="No"/>
        <s v="Si"/>
        <m/>
      </sharedItems>
    </cacheField>
    <cacheField name="Comentarios sobre la bienvenida." numFmtId="0">
      <sharedItems containsBlank="1"/>
    </cacheField>
    <cacheField name="¿Se presentó a su formador?" numFmtId="0">
      <sharedItems containsBlank="1"/>
    </cacheField>
    <cacheField name="Nombre del Formador" numFmtId="0">
      <sharedItems containsBlank="1"/>
    </cacheField>
    <cacheField name="Tiene cuenta de INET y su respectiva explicación." numFmtId="0">
      <sharedItems containsBlank="1"/>
    </cacheField>
    <cacheField name="Que tal le pareció su induccion" numFmtId="0">
      <sharedItems containsBlank="1"/>
    </cacheField>
    <cacheField name="Comentarios sobre la inducción y/o adicionales " numFmtId="0">
      <sharedItems containsBlank="1"/>
    </cacheField>
    <cacheField name="FECHA DEL SEGUNDO CONTACTO" numFmtId="14">
      <sharedItems containsNonDate="0" containsDate="1" containsString="0" containsBlank="1" minDate="2026-05-13T00:00:00" maxDate="2026-06-09T00:00:00"/>
    </cacheField>
    <cacheField name="ESCRIBE EL CÓDIGO DE COLABORADOR" numFmtId="0">
      <sharedItems containsBlank="1"/>
    </cacheField>
    <cacheField name="NOMBRE COMPLETO" numFmtId="0">
      <sharedItems containsBlank="1"/>
    </cacheField>
    <cacheField name="CODIGO DE COLABORADOR" numFmtId="0">
      <sharedItems containsBlank="1"/>
    </cacheField>
    <cacheField name="ENCARGADO DE LA TIENDA" numFmtId="0">
      <sharedItems containsBlank="1"/>
    </cacheField>
    <cacheField name="FECHA DE INGRESO" numFmtId="14">
      <sharedItems containsNonDate="0" containsDate="1" containsString="0" containsBlank="1" minDate="2026-04-01T00:00:00" maxDate="2026-04-08T00:00:00"/>
    </cacheField>
    <cacheField name="DESEMPEÑO" numFmtId="0">
      <sharedItems containsString="0" containsBlank="1" containsNumber="1" containsInteger="1" minValue="7" maxValue="8"/>
    </cacheField>
    <cacheField name="CUMPLE CON LAS ASIGNACIONES DE SU PUESTO" numFmtId="0">
      <sharedItems containsString="0" containsBlank="1" containsNumber="1" containsInteger="1" minValue="7" maxValue="8"/>
    </cacheField>
    <cacheField name="JUSTICACIÓN" numFmtId="0">
      <sharedItems containsBlank="1"/>
    </cacheField>
    <cacheField name="FORMACIÓN" numFmtId="0">
      <sharedItems containsString="0" containsBlank="1" containsNumber="1" containsInteger="1" minValue="7" maxValue="8"/>
    </cacheField>
    <cacheField name="COMENTARIOS" numFmtId="0">
      <sharedItems containsBlank="1"/>
    </cacheField>
    <cacheField name="FECHA ESTIMADA DE TERCER CONTACTO" numFmtId="14">
      <sharedItems containsNonDate="0" containsDate="1" containsString="0" containsBlank="1" minDate="2026-06-08T00:00:00" maxDate="2026-06-17T00:00:00"/>
    </cacheField>
    <cacheField name="CÓDIGO DE COLABORADOR1" numFmtId="0">
      <sharedItems containsBlank="1"/>
    </cacheField>
    <cacheField name="CODIGO DE COLABORADOR1" numFmtId="0">
      <sharedItems containsBlank="1"/>
    </cacheField>
    <cacheField name="PUESTO" numFmtId="0">
      <sharedItems containsBlank="1"/>
    </cacheField>
    <cacheField name="¿Tu encargado te ha guiado adecuadamente?" numFmtId="0">
      <sharedItems containsBlank="1"/>
    </cacheField>
    <cacheField name="¿Te sientes integrado/a al equipo?" numFmtId="0">
      <sharedItems containsBlank="1"/>
    </cacheField>
    <cacheField name="¿Recomendarías trabajar aquí?" numFmtId="0">
      <sharedItems containsString="0" containsBlank="1" containsNumber="1" containsInteger="1" minValue="1" maxValue="1"/>
    </cacheField>
    <cacheField name="Comentarios1" numFmtId="0">
      <sharedItems containsBlank="1"/>
    </cacheField>
    <cacheField name="MOTIVO DE LA BAJA" numFmtId="0">
      <sharedItems containsNonDate="0" containsString="0" containsBlank="1"/>
    </cacheField>
    <cacheField name="Fecha de finalización de contrato" numFmtId="14">
      <sharedItems containsNonDate="0" containsString="0" containsBlank="1"/>
    </cacheField>
    <cacheField name="Comentarios adicional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iris Moran Cuellar" refreshedDate="46119.931207638889" createdVersion="8" refreshedVersion="8" minRefreshableVersion="3" recordCount="12" xr:uid="{A94C543E-7034-44C7-BD3D-08C4FA377E68}">
  <cacheSource type="worksheet">
    <worksheetSource name="OfficeForms.Table"/>
  </cacheSource>
  <cacheFields count="100">
    <cacheField name="Id" numFmtId="0">
      <sharedItems containsString="0" containsBlank="1" containsNumber="1" containsInteger="1" minValue="1" maxValue="9"/>
    </cacheField>
    <cacheField name="Column1" numFmtId="0">
      <sharedItems containsMixedTypes="1" containsNumber="1" containsInteger="1" minValue="0" maxValue="0"/>
    </cacheField>
    <cacheField name="Hora de inicio" numFmtId="22">
      <sharedItems containsNonDate="0" containsDate="1" containsString="0" containsBlank="1" minDate="2026-03-27T12:12:13" maxDate="2026-04-07T14:19:58"/>
    </cacheField>
    <cacheField name="Hora de finalización" numFmtId="22">
      <sharedItems containsNonDate="0" containsDate="1" containsString="0" containsBlank="1" minDate="2026-03-27T12:13:08" maxDate="2026-04-07T14:21:20"/>
    </cacheField>
    <cacheField name="Correo electrónico" numFmtId="0">
      <sharedItems containsBlank="1"/>
    </cacheField>
    <cacheField name="Nombre" numFmtId="0">
      <sharedItems containsBlank="1"/>
    </cacheField>
    <cacheField name="NOMBRE COMPLETO (ENCAGADO DE RH O RECLUTAMIENTO)" numFmtId="0">
      <sharedItems containsBlank="1"/>
    </cacheField>
    <cacheField name="ID DE COLABORADOR DEL EMPLEADO A ENTREVISTAR" numFmtId="0">
      <sharedItems containsBlank="1" containsMixedTypes="1" containsNumber="1" containsInteger="1" minValue="1234" maxValue="3607801"/>
    </cacheField>
    <cacheField name="SELECCIONA EL PAÍS." numFmtId="0">
      <sharedItems containsBlank="1" count="5">
        <s v="SV"/>
        <s v="HO"/>
        <s v="CR"/>
        <m/>
        <s v="GT"/>
      </sharedItems>
    </cacheField>
    <cacheField name="TIENDAS EN EL SALVADOR" numFmtId="0">
      <sharedItems containsBlank="1" count="3">
        <s v="ZARA LA GRAN VIA"/>
        <m/>
        <s v="BERSHKA LA GRAN VIA"/>
      </sharedItems>
    </cacheField>
    <cacheField name="BERSHKA GALERIAS" numFmtId="0">
      <sharedItems containsNonDate="0" containsString="0" containsBlank="1"/>
    </cacheField>
    <cacheField name="LA GRAN VIA" numFmtId="0">
      <sharedItems containsBlank="1"/>
    </cacheField>
    <cacheField name="OFICINAS CORPORATIVAS" numFmtId="0">
      <sharedItems containsNonDate="0" containsString="0" containsBlank="1"/>
    </cacheField>
    <cacheField name="FLYING TIGER" numFmtId="0">
      <sharedItems containsNonDate="0" containsString="0" containsBlank="1"/>
    </cacheField>
    <cacheField name="OYSHO LA GRAN VIA" numFmtId="0">
      <sharedItems containsNonDate="0" containsString="0" containsBlank="1"/>
    </cacheField>
    <cacheField name="PACKING SV" numFmtId="0">
      <sharedItems containsNonDate="0" containsString="0" containsBlank="1"/>
    </cacheField>
    <cacheField name="PULL AND BEAR GALERIAS" numFmtId="0">
      <sharedItems containsNonDate="0" containsString="0" containsBlank="1"/>
    </cacheField>
    <cacheField name="PULL AND BEAR LA GRAN VIA" numFmtId="0">
      <sharedItems containsNonDate="0" containsString="0" containsBlank="1"/>
    </cacheField>
    <cacheField name="STRAVARIUS GALERIAS" numFmtId="0">
      <sharedItems containsNonDate="0" containsString="0" containsBlank="1"/>
    </cacheField>
    <cacheField name="STRADIVARIUS LA GRAN VIA" numFmtId="0">
      <sharedItems containsNonDate="0" containsString="0" containsBlank="1"/>
    </cacheField>
    <cacheField name="ZARA LA GRAN VIA" numFmtId="0">
      <sharedItems containsBlank="1"/>
    </cacheField>
    <cacheField name="SELECCIONA TU TIENDA EN GUATEMALA" numFmtId="0">
      <sharedItems containsBlank="1" count="3">
        <m/>
        <s v="MASSIMO DUTTI OAKLAND"/>
        <s v="BERSHKA OAKLAND"/>
      </sharedItems>
    </cacheField>
    <cacheField name="BSK MIRAFLORES" numFmtId="0">
      <sharedItems containsNonDate="0" containsString="0" containsBlank="1"/>
    </cacheField>
    <cacheField name="BSK OAKLAND" numFmtId="0">
      <sharedItems containsBlank="1"/>
    </cacheField>
    <cacheField name="BSK PRADERA CONCEPCCIÓN" numFmtId="0">
      <sharedItems containsNonDate="0" containsString="0" containsBlank="1"/>
    </cacheField>
    <cacheField name="OFICINAS CORPORATIVAS1" numFmtId="0">
      <sharedItems containsNonDate="0" containsString="0" containsBlank="1"/>
    </cacheField>
    <cacheField name="MASSIMO DUTTI" numFmtId="0">
      <sharedItems containsBlank="1"/>
    </cacheField>
    <cacheField name="OYSHO OAKLAND" numFmtId="0">
      <sharedItems containsNonDate="0" containsString="0" containsBlank="1"/>
    </cacheField>
    <cacheField name="PACKING GT" numFmtId="0">
      <sharedItems containsNonDate="0" containsString="0" containsBlank="1"/>
    </cacheField>
    <cacheField name="PULL AND BEAR MIRAFLORES" numFmtId="0">
      <sharedItems containsNonDate="0" containsString="0" containsBlank="1"/>
    </cacheField>
    <cacheField name="PULL AND BEAR OAKLAND" numFmtId="0">
      <sharedItems containsNonDate="0" containsString="0" containsBlank="1"/>
    </cacheField>
    <cacheField name="PULL AND BEAR PRADERA CONCEPCIÓN" numFmtId="0">
      <sharedItems containsNonDate="0" containsString="0" containsBlank="1"/>
    </cacheField>
    <cacheField name="STRADIVARIUS MIRAFLORES" numFmtId="0">
      <sharedItems containsNonDate="0" containsString="0" containsBlank="1"/>
    </cacheField>
    <cacheField name="STRADIVARIUS OAKLAND" numFmtId="0">
      <sharedItems containsNonDate="0" containsString="0" containsBlank="1"/>
    </cacheField>
    <cacheField name="STRADIVARIUS PRADERA CONCEPCIÓN" numFmtId="0">
      <sharedItems containsNonDate="0" containsString="0" containsBlank="1"/>
    </cacheField>
    <cacheField name="ZARA HOME GT" numFmtId="0">
      <sharedItems containsNonDate="0" containsString="0" containsBlank="1"/>
    </cacheField>
    <cacheField name="ZARA MIRAFLORES" numFmtId="0">
      <sharedItems containsNonDate="0" containsString="0" containsBlank="1"/>
    </cacheField>
    <cacheField name="ZARA OAKLAND" numFmtId="0">
      <sharedItems containsNonDate="0" containsString="0" containsBlank="1"/>
    </cacheField>
    <cacheField name="ZARA PRADERA CONCEPCIÓN" numFmtId="0">
      <sharedItems containsNonDate="0" containsString="0" containsBlank="1"/>
    </cacheField>
    <cacheField name="SELECCIONA LA TIENDA EN HONDURAS" numFmtId="0">
      <sharedItems containsBlank="1" count="3">
        <m/>
        <s v="BERSHKA SAN PEDRO SULA"/>
        <s v="BERSHKA TEGUCIGALPA"/>
      </sharedItems>
    </cacheField>
    <cacheField name="BSK SAN PEDRO SULA" numFmtId="0">
      <sharedItems containsNonDate="0" containsString="0" containsBlank="1"/>
    </cacheField>
    <cacheField name="BSK TEGUCIGALPA" numFmtId="0">
      <sharedItems containsBlank="1"/>
    </cacheField>
    <cacheField name="MASSIMO DUTTI TEGUCIGALPA" numFmtId="0">
      <sharedItems containsNonDate="0" containsString="0" containsBlank="1"/>
    </cacheField>
    <cacheField name="OYSHO TEGUCIGALPA" numFmtId="0">
      <sharedItems containsNonDate="0" containsString="0" containsBlank="1"/>
    </cacheField>
    <cacheField name="PULL AND BEAR SAN PEDRO SULA" numFmtId="0">
      <sharedItems containsNonDate="0" containsString="0" containsBlank="1"/>
    </cacheField>
    <cacheField name="PULL AND BEAR TEGUCIGALPA" numFmtId="0">
      <sharedItems containsNonDate="0" containsString="0" containsBlank="1"/>
    </cacheField>
    <cacheField name="STRADIVARIUS SAN PEDRO SULA" numFmtId="0">
      <sharedItems containsNonDate="0" containsString="0" containsBlank="1"/>
    </cacheField>
    <cacheField name="STRADIVARIUS TEGUCIGALPA" numFmtId="0">
      <sharedItems containsNonDate="0" containsString="0" containsBlank="1"/>
    </cacheField>
    <cacheField name="ZARA CITY MALL" numFmtId="0">
      <sharedItems containsNonDate="0" containsString="0" containsBlank="1"/>
    </cacheField>
    <cacheField name="ZARA HOME TEGUCIGALPA" numFmtId="0">
      <sharedItems containsNonDate="0" containsString="0" containsBlank="1"/>
    </cacheField>
    <cacheField name="ZARA TEGUCIGALPA" numFmtId="0">
      <sharedItems containsNonDate="0" containsString="0" containsBlank="1"/>
    </cacheField>
    <cacheField name="SELECCIONA TU TIENDA EN NICARAGUA" numFmtId="0">
      <sharedItems containsNonDate="0" containsString="0" containsBlank="1" count="1">
        <m/>
      </sharedItems>
    </cacheField>
    <cacheField name="BSK SANTO DOMINGO" numFmtId="0">
      <sharedItems containsNonDate="0" containsString="0" containsBlank="1"/>
    </cacheField>
    <cacheField name="PULL AND BEAR SANTO DOMINGO" numFmtId="0">
      <sharedItems containsNonDate="0" containsString="0" containsBlank="1"/>
    </cacheField>
    <cacheField name="STRADIVARIUS SANTO DOMINGO" numFmtId="0">
      <sharedItems containsNonDate="0" containsString="0" containsBlank="1"/>
    </cacheField>
    <cacheField name="ZARA SANTO DOMINGO" numFmtId="0">
      <sharedItems containsNonDate="0" containsString="0" containsBlank="1"/>
    </cacheField>
    <cacheField name="SELECCIONA LA TIENDA DE COSTA RICA" numFmtId="0">
      <sharedItems containsBlank="1" count="3">
        <m/>
        <s v="MASSIMO DUTTI ESCAZU"/>
        <s v="STRADIVARIUS DEL ESTE"/>
      </sharedItems>
    </cacheField>
    <cacheField name="BERSHKA MULTIPLAZA DEL ESTE" numFmtId="0">
      <sharedItems containsNonDate="0" containsString="0" containsBlank="1"/>
    </cacheField>
    <cacheField name="BSK MULTIPLAZA ESCAZU" numFmtId="0">
      <sharedItems containsNonDate="0" containsString="0" containsBlank="1"/>
    </cacheField>
    <cacheField name="ZARA HOME COSTA RICA" numFmtId="0">
      <sharedItems containsNonDate="0" containsString="0" containsBlank="1"/>
    </cacheField>
    <cacheField name="MASSIMO DUTTI ESCAZU" numFmtId="0">
      <sharedItems containsBlank="1"/>
    </cacheField>
    <cacheField name="OFICINAS CR" numFmtId="0">
      <sharedItems containsNonDate="0" containsString="0" containsBlank="1"/>
    </cacheField>
    <cacheField name="OYSHO ESCAZU" numFmtId="0">
      <sharedItems containsNonDate="0" containsString="0" containsBlank="1"/>
    </cacheField>
    <cacheField name="PULL AND BEAR DEL ESTE" numFmtId="0">
      <sharedItems containsNonDate="0" containsString="0" containsBlank="1"/>
    </cacheField>
    <cacheField name="PULL AND BEAR ESCAZU" numFmtId="0">
      <sharedItems containsNonDate="0" containsString="0" containsBlank="1"/>
    </cacheField>
    <cacheField name="STRADIVARIUS DEL ESTE" numFmtId="0">
      <sharedItems containsBlank="1"/>
    </cacheField>
    <cacheField name="STRADIVARIUS ESCAZU" numFmtId="0">
      <sharedItems containsNonDate="0" containsString="0" containsBlank="1"/>
    </cacheField>
    <cacheField name="ZARA DEL ESTE" numFmtId="0">
      <sharedItems containsNonDate="0" containsString="0" containsBlank="1"/>
    </cacheField>
    <cacheField name="ZARA ESCAZU" numFmtId="0">
      <sharedItems containsNonDate="0" containsString="0" containsBlank="1"/>
    </cacheField>
    <cacheField name="SELECCIONA EL CONTACTO" numFmtId="0">
      <sharedItems containsBlank="1"/>
    </cacheField>
    <cacheField name="ESCRIBE EL CODIGO DE COLABORADOR" numFmtId="0">
      <sharedItems containsBlank="1"/>
    </cacheField>
    <cacheField name="Se Sintió Bienvenido" numFmtId="0">
      <sharedItems containsBlank="1"/>
    </cacheField>
    <cacheField name="Comentarios sobre la bienvenida." numFmtId="0">
      <sharedItems containsBlank="1"/>
    </cacheField>
    <cacheField name="¿Se presentó a su formador?" numFmtId="0">
      <sharedItems containsBlank="1"/>
    </cacheField>
    <cacheField name="Nombre del Formador" numFmtId="0">
      <sharedItems containsBlank="1"/>
    </cacheField>
    <cacheField name="Tiene cuenta de INET y su respectiva explicación." numFmtId="0">
      <sharedItems containsBlank="1"/>
    </cacheField>
    <cacheField name="Que tal le pareció su induccion" numFmtId="0">
      <sharedItems containsBlank="1"/>
    </cacheField>
    <cacheField name="Comentarios sobre la inducción y/o adicionales " numFmtId="0">
      <sharedItems containsBlank="1"/>
    </cacheField>
    <cacheField name="FECHA DEL SEGUNDO CONTACTO" numFmtId="14">
      <sharedItems containsNonDate="0" containsDate="1" containsString="0" containsBlank="1" minDate="2026-05-13T00:00:00" maxDate="2026-06-09T00:00:00"/>
    </cacheField>
    <cacheField name="ESCRIBE EL CÓDIGO DE COLABORADOR" numFmtId="0">
      <sharedItems containsBlank="1"/>
    </cacheField>
    <cacheField name="NOMBRE COMPLETO" numFmtId="0">
      <sharedItems containsBlank="1"/>
    </cacheField>
    <cacheField name="CODIGO DE COLABORADOR" numFmtId="0">
      <sharedItems containsBlank="1"/>
    </cacheField>
    <cacheField name="ENCARGADO DE LA TIENDA" numFmtId="0">
      <sharedItems containsBlank="1"/>
    </cacheField>
    <cacheField name="FECHA DE INGRESO" numFmtId="14">
      <sharedItems containsNonDate="0" containsDate="1" containsString="0" containsBlank="1" minDate="2026-04-01T00:00:00" maxDate="2026-04-08T00:00:00"/>
    </cacheField>
    <cacheField name="DESEMPEÑO" numFmtId="0">
      <sharedItems containsString="0" containsBlank="1" containsNumber="1" containsInteger="1" minValue="7" maxValue="8"/>
    </cacheField>
    <cacheField name="CUMPLE CON LAS ASIGNACIONES DE SU PUESTO" numFmtId="0">
      <sharedItems containsString="0" containsBlank="1" containsNumber="1" containsInteger="1" minValue="7" maxValue="8"/>
    </cacheField>
    <cacheField name="JUSTICACIÓN" numFmtId="0">
      <sharedItems containsBlank="1"/>
    </cacheField>
    <cacheField name="FORMACIÓN" numFmtId="0">
      <sharedItems containsString="0" containsBlank="1" containsNumber="1" containsInteger="1" minValue="7" maxValue="8"/>
    </cacheField>
    <cacheField name="COMENTARIOS" numFmtId="0">
      <sharedItems containsBlank="1"/>
    </cacheField>
    <cacheField name="FECHA ESTIMADA DE TERCER CONTACTO" numFmtId="14">
      <sharedItems containsNonDate="0" containsDate="1" containsString="0" containsBlank="1" minDate="2026-06-08T00:00:00" maxDate="2026-06-17T00:00:00"/>
    </cacheField>
    <cacheField name="CÓDIGO DE COLABORADOR1" numFmtId="0">
      <sharedItems containsBlank="1"/>
    </cacheField>
    <cacheField name="CODIGO DE COLABORADOR1" numFmtId="0">
      <sharedItems containsBlank="1"/>
    </cacheField>
    <cacheField name="PUESTO" numFmtId="0">
      <sharedItems containsBlank="1"/>
    </cacheField>
    <cacheField name="¿Tu encargado te ha guiado adecuadamente?" numFmtId="0">
      <sharedItems containsBlank="1"/>
    </cacheField>
    <cacheField name="¿Te sientes integrado/a al equipo?" numFmtId="0">
      <sharedItems containsBlank="1"/>
    </cacheField>
    <cacheField name="¿Recomendarías trabajar aquí?" numFmtId="0">
      <sharedItems containsString="0" containsBlank="1" containsNumber="1" containsInteger="1" minValue="1" maxValue="1"/>
    </cacheField>
    <cacheField name="Comentarios1" numFmtId="0">
      <sharedItems containsBlank="1"/>
    </cacheField>
    <cacheField name="MOTIVO DE LA BAJA" numFmtId="0">
      <sharedItems containsNonDate="0" containsString="0" containsBlank="1"/>
    </cacheField>
    <cacheField name="Fecha de finalización de contrato" numFmtId="14">
      <sharedItems containsNonDate="0" containsString="0" containsBlank="1"/>
    </cacheField>
    <cacheField name="Comentarios adicional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s v="PRIMER CONTACTO"/>
    <d v="2026-03-27T12:12:13"/>
    <d v="2026-03-27T12:13:08"/>
    <s v="osiris_moran@siman.com"/>
    <x v="0"/>
    <m/>
    <m/>
    <x v="0"/>
    <x v="0"/>
    <m/>
    <m/>
    <m/>
    <m/>
    <m/>
    <m/>
    <m/>
    <m/>
    <m/>
    <m/>
    <s v="CUELLAR RIVAS, OSCAR JOEL_x0009_5207601_x0009_DEPEND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RIMER CONTACTO"/>
    <s v="23423"/>
    <x v="0"/>
    <s v="342342"/>
    <s v="Si"/>
    <s v="32wewre"/>
    <s v="werwe"/>
    <s v="Regular"/>
    <s v="werwer"/>
    <d v="2026-05-27T00:00:00"/>
    <m/>
    <m/>
    <m/>
    <m/>
    <m/>
    <m/>
    <m/>
    <m/>
    <m/>
    <m/>
    <m/>
    <m/>
    <m/>
    <m/>
    <m/>
    <m/>
    <m/>
    <m/>
    <m/>
    <m/>
    <m/>
  </r>
  <r>
    <n v="2"/>
    <s v="PRIMER CONTACTO"/>
    <d v="2026-03-30T10:11:15"/>
    <d v="2026-03-30T10:22:40"/>
    <s v="cindy_martinez@siman.com"/>
    <x v="1"/>
    <s v="Cindy Martinez"/>
    <n v="1234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s v="BERSHKA SAN PEDRO SULA"/>
    <m/>
    <m/>
    <m/>
    <m/>
    <m/>
    <m/>
    <m/>
    <m/>
    <m/>
    <m/>
    <m/>
    <m/>
    <m/>
    <m/>
    <m/>
    <m/>
    <m/>
    <m/>
    <m/>
    <m/>
    <m/>
    <m/>
    <m/>
    <m/>
    <m/>
    <m/>
    <m/>
    <m/>
    <m/>
    <s v="PRIMER CONTACTO"/>
    <s v="1234"/>
    <x v="1"/>
    <s v="Todo bien"/>
    <s v="Si"/>
    <s v="Juan Perez"/>
    <s v="No aun no"/>
    <s v="Excelente"/>
    <s v="Todo bien"/>
    <d v="2026-05-13T00:00:00"/>
    <m/>
    <m/>
    <m/>
    <m/>
    <m/>
    <m/>
    <m/>
    <m/>
    <m/>
    <m/>
    <m/>
    <m/>
    <m/>
    <m/>
    <m/>
    <m/>
    <m/>
    <m/>
    <m/>
    <m/>
    <m/>
  </r>
  <r>
    <n v="3"/>
    <s v="PRIMER CONTACTO"/>
    <d v="2026-03-30T14:58:27"/>
    <d v="2026-03-30T14:59:41"/>
    <s v="osiris_moran@siman.com"/>
    <x v="0"/>
    <s v="OSIRIS MORAN"/>
    <n v="3607801"/>
    <x v="0"/>
    <x v="2"/>
    <m/>
    <s v="BARAHONA CABRERA, CLARISSA SARAI_x0009_DEPEND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RIMER CONTACTO"/>
    <s v="123"/>
    <x v="0"/>
    <s v="no fue bienvenido solo lo mandaron a trabajar"/>
    <s v="Si"/>
    <s v="nombre de prueba"/>
    <s v="no"/>
    <s v="Muy Mala"/>
    <s v="se adapto muy bien"/>
    <d v="2026-05-30T00:00:00"/>
    <m/>
    <m/>
    <m/>
    <m/>
    <m/>
    <m/>
    <m/>
    <m/>
    <m/>
    <m/>
    <m/>
    <m/>
    <m/>
    <m/>
    <m/>
    <m/>
    <m/>
    <m/>
    <m/>
    <m/>
    <m/>
  </r>
  <r>
    <n v="4"/>
    <s v="SEGUNDO CONTACTO"/>
    <d v="2026-04-06T10:05:25"/>
    <d v="2026-04-06T10:06:20"/>
    <s v="osiris_moran@siman.com"/>
    <x v="0"/>
    <s v="OSIRIS MORAN"/>
    <n v="3607801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s v="BERSHKA TEGUCIGALPA"/>
    <m/>
    <s v="VELASQUEZ ORELLANA, ERNESTO ENRIQUE_x0009_1284904_x0009_DEPENDIENTE"/>
    <m/>
    <m/>
    <m/>
    <m/>
    <m/>
    <m/>
    <m/>
    <m/>
    <m/>
    <m/>
    <m/>
    <m/>
    <m/>
    <m/>
    <m/>
    <m/>
    <m/>
    <m/>
    <m/>
    <m/>
    <m/>
    <m/>
    <m/>
    <m/>
    <m/>
    <m/>
    <m/>
    <s v="SEGUNDO CONTACTO"/>
    <m/>
    <x v="2"/>
    <m/>
    <m/>
    <m/>
    <m/>
    <m/>
    <m/>
    <m/>
    <s v="2323423"/>
    <s v="ARSDSFG"/>
    <s v="23123"/>
    <s v="DFSDFSD"/>
    <d v="2026-04-01T00:00:00"/>
    <n v="7"/>
    <n v="7"/>
    <s v="ASDSDA"/>
    <n v="7"/>
    <s v="DFSDFS"/>
    <d v="2026-06-08T00:00:00"/>
    <m/>
    <m/>
    <m/>
    <m/>
    <m/>
    <m/>
    <m/>
    <m/>
    <m/>
    <m/>
  </r>
  <r>
    <n v="5"/>
    <s v="PRIMER CONTACTO"/>
    <d v="2026-04-06T10:54:54"/>
    <d v="2026-04-06T11:06:10"/>
    <s v="lizeth_perez@siman.com"/>
    <x v="2"/>
    <s v="Stephanie Ballina Perez"/>
    <n v="2142703"/>
    <x v="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SSIMO DUTTI ESCAZU"/>
    <m/>
    <m/>
    <m/>
    <s v="CORRALES RIVERA, KRISTEL DARIANA_x0009_2371703_x0009_DEPENDIENTE"/>
    <m/>
    <m/>
    <m/>
    <m/>
    <m/>
    <m/>
    <m/>
    <m/>
    <s v="PRIMER CONTACTO"/>
    <s v="2371703"/>
    <x v="1"/>
    <s v="Fue muy bonita, muy cálida, tuvieron mucho entendimiento ya que era nueva."/>
    <s v="Si"/>
    <s v="Sayling Delgado"/>
    <s v="si"/>
    <s v="Excelente"/>
    <m/>
    <m/>
    <m/>
    <m/>
    <m/>
    <m/>
    <m/>
    <m/>
    <m/>
    <m/>
    <m/>
    <m/>
    <m/>
    <m/>
    <m/>
    <m/>
    <m/>
    <m/>
    <m/>
    <m/>
    <m/>
    <m/>
    <m/>
  </r>
  <r>
    <n v="6"/>
    <s v="PRIMER CONTACTO"/>
    <d v="2026-04-06T11:06:45"/>
    <d v="2026-04-06T11:09:24"/>
    <s v="lizeth_perez@siman.com"/>
    <x v="2"/>
    <s v="Stephanie Ballina Perez"/>
    <n v="2142703"/>
    <x v="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SSIMO DUTTI ESCAZU"/>
    <m/>
    <m/>
    <m/>
    <s v="AGUILAR GONZALEZ, KIARA SOFIA_x0009_2499503_x0009_DEPENDIENTE"/>
    <m/>
    <m/>
    <m/>
    <m/>
    <m/>
    <m/>
    <m/>
    <m/>
    <s v="PRIMER CONTACTO"/>
    <s v="2371703"/>
    <x v="1"/>
    <s v="Fue una bienvenida muy tranquila ya que me explicaron todo sobre la tienda y son muy atentas todas."/>
    <s v="Si"/>
    <s v="Nicole Navarrete"/>
    <s v="si"/>
    <s v="Excelente"/>
    <m/>
    <m/>
    <m/>
    <m/>
    <m/>
    <m/>
    <m/>
    <m/>
    <m/>
    <m/>
    <m/>
    <m/>
    <m/>
    <m/>
    <m/>
    <m/>
    <m/>
    <m/>
    <m/>
    <m/>
    <m/>
    <m/>
    <m/>
  </r>
  <r>
    <m/>
    <s v="PRIMER CONTACTO"/>
    <m/>
    <m/>
    <m/>
    <x v="3"/>
    <m/>
    <m/>
    <x v="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RIMER CONTACTO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"/>
    <s v="PRIMER CONTACTO"/>
    <d v="2026-04-06T16:38:09"/>
    <d v="2026-04-06T16:38:43"/>
    <s v="osiris_moran@siman.com"/>
    <x v="0"/>
    <s v="OSIRIS MORAN|"/>
    <n v="3607801"/>
    <x v="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TRADIVARIUS DEL ESTE"/>
    <m/>
    <m/>
    <m/>
    <m/>
    <m/>
    <m/>
    <m/>
    <m/>
    <s v="CALDERON SANCHO, SCARLETTE PAOLA_x0009_2480703_x0009_DEPENDIENTE"/>
    <m/>
    <m/>
    <m/>
    <s v="PRIMER CONTACTO"/>
    <s v="4444444"/>
    <x v="1"/>
    <s v="4444"/>
    <s v="No"/>
    <s v="SDFSDF"/>
    <s v="qeqweq"/>
    <s v="Excelente"/>
    <s v="muy buena"/>
    <d v="2026-06-08T00:00:00"/>
    <m/>
    <m/>
    <m/>
    <m/>
    <m/>
    <m/>
    <m/>
    <m/>
    <m/>
    <m/>
    <m/>
    <m/>
    <m/>
    <m/>
    <m/>
    <m/>
    <m/>
    <m/>
    <m/>
    <m/>
    <m/>
  </r>
  <r>
    <n v="8"/>
    <s v="TERCER CONTACTO"/>
    <d v="2026-04-06T18:24:08"/>
    <d v="2026-04-06T18:24:59"/>
    <s v="osiris_moran@siman.com"/>
    <x v="0"/>
    <s v="osiris moran1"/>
    <n v="123456"/>
    <x v="4"/>
    <x v="1"/>
    <m/>
    <m/>
    <m/>
    <m/>
    <m/>
    <m/>
    <m/>
    <m/>
    <m/>
    <m/>
    <m/>
    <s v="MASSIMO DUTTI OAKLAND"/>
    <m/>
    <m/>
    <m/>
    <m/>
    <s v="MENDEZ GARCIA, DAVID ALEJANDRO_x0009_2453406_x0009_SEGUNDO ENCARGAD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ERCER CONTACTO"/>
    <m/>
    <x v="2"/>
    <m/>
    <m/>
    <m/>
    <m/>
    <m/>
    <m/>
    <m/>
    <m/>
    <m/>
    <m/>
    <m/>
    <m/>
    <m/>
    <m/>
    <m/>
    <m/>
    <m/>
    <m/>
    <s v="ewerwe"/>
    <s v="wet24"/>
    <s v="etsda"/>
    <s v="NO"/>
    <s v="NO"/>
    <n v="1"/>
    <s v="12"/>
    <m/>
    <m/>
    <m/>
  </r>
  <r>
    <m/>
    <n v="0"/>
    <m/>
    <m/>
    <m/>
    <x v="3"/>
    <m/>
    <m/>
    <x v="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"/>
    <s v="SEGUNDO CONTACTO"/>
    <d v="2026-04-07T14:19:58"/>
    <d v="2026-04-07T14:21:20"/>
    <s v="osiris_moran@siman.com"/>
    <x v="0"/>
    <s v="OSIRIS MORAN"/>
    <s v="3229106"/>
    <x v="4"/>
    <x v="1"/>
    <m/>
    <m/>
    <m/>
    <m/>
    <m/>
    <m/>
    <m/>
    <m/>
    <m/>
    <m/>
    <m/>
    <s v="BERSHKA OAKLAND"/>
    <m/>
    <s v="NAJERA PAREDES, DERICK JOSE ANDRES_x0009_3229106_x0009_AUXILIAR DE ALMACE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EGUNDO CONTACTO"/>
    <m/>
    <x v="2"/>
    <m/>
    <m/>
    <m/>
    <m/>
    <m/>
    <m/>
    <m/>
    <s v="3229106 "/>
    <s v="NOMBRE DE PRUEBA"/>
    <m/>
    <s v="ENCARGADO DE PREUBA"/>
    <d v="2026-04-07T00:00:00"/>
    <n v="8"/>
    <n v="8"/>
    <s v="HOLA"/>
    <n v="8"/>
    <s v="SI SI"/>
    <d v="2026-06-16T00:00:00"/>
    <m/>
    <m/>
    <m/>
    <m/>
    <m/>
    <m/>
    <m/>
    <m/>
    <m/>
    <m/>
  </r>
  <r>
    <m/>
    <n v="0"/>
    <m/>
    <m/>
    <m/>
    <x v="3"/>
    <m/>
    <m/>
    <x v="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s v="PRIMER CONTACTO"/>
    <d v="2026-03-27T12:12:13"/>
    <d v="2026-03-27T12:13:08"/>
    <s v="osiris_moran@siman.com"/>
    <s v="Osiris Gabriel Moran Cuellar"/>
    <m/>
    <m/>
    <x v="0"/>
    <x v="0"/>
    <m/>
    <m/>
    <m/>
    <m/>
    <m/>
    <m/>
    <m/>
    <m/>
    <m/>
    <m/>
    <s v="CUELLAR RIVAS, OSCAR JOEL_x0009_5207601_x0009_DEPENDIENTE"/>
    <x v="0"/>
    <m/>
    <m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0"/>
    <m/>
    <m/>
    <m/>
    <m/>
    <m/>
    <m/>
    <m/>
    <m/>
    <m/>
    <m/>
    <m/>
    <m/>
    <s v="PRIMER CONTACTO"/>
    <s v="23423"/>
    <s v="No"/>
    <s v="342342"/>
    <s v="Si"/>
    <s v="32wewre"/>
    <s v="werwe"/>
    <s v="Regular"/>
    <s v="werwer"/>
    <d v="2026-05-27T00:00:00"/>
    <m/>
    <m/>
    <m/>
    <m/>
    <m/>
    <m/>
    <m/>
    <m/>
    <m/>
    <m/>
    <m/>
    <m/>
    <m/>
    <m/>
    <m/>
    <m/>
    <m/>
    <m/>
    <m/>
    <m/>
    <m/>
  </r>
  <r>
    <n v="2"/>
    <s v="PRIMER CONTACTO"/>
    <d v="2026-03-30T10:11:15"/>
    <d v="2026-03-30T10:22:40"/>
    <s v="cindy_martinez@siman.com"/>
    <s v="Cindy Johanna Martinez Betancourt"/>
    <s v="Cindy Martinez"/>
    <n v="1234"/>
    <x v="1"/>
    <x v="1"/>
    <m/>
    <m/>
    <m/>
    <m/>
    <m/>
    <m/>
    <m/>
    <m/>
    <m/>
    <m/>
    <m/>
    <x v="0"/>
    <m/>
    <m/>
    <m/>
    <m/>
    <m/>
    <m/>
    <m/>
    <m/>
    <m/>
    <m/>
    <m/>
    <m/>
    <m/>
    <m/>
    <m/>
    <m/>
    <m/>
    <x v="1"/>
    <m/>
    <m/>
    <m/>
    <m/>
    <m/>
    <m/>
    <m/>
    <m/>
    <m/>
    <m/>
    <m/>
    <x v="0"/>
    <m/>
    <m/>
    <m/>
    <m/>
    <x v="0"/>
    <m/>
    <m/>
    <m/>
    <m/>
    <m/>
    <m/>
    <m/>
    <m/>
    <m/>
    <m/>
    <m/>
    <m/>
    <s v="PRIMER CONTACTO"/>
    <s v="1234"/>
    <s v="Si"/>
    <s v="Todo bien"/>
    <s v="Si"/>
    <s v="Juan Perez"/>
    <s v="No aun no"/>
    <s v="Excelente"/>
    <s v="Todo bien"/>
    <d v="2026-05-13T00:00:00"/>
    <m/>
    <m/>
    <m/>
    <m/>
    <m/>
    <m/>
    <m/>
    <m/>
    <m/>
    <m/>
    <m/>
    <m/>
    <m/>
    <m/>
    <m/>
    <m/>
    <m/>
    <m/>
    <m/>
    <m/>
    <m/>
  </r>
  <r>
    <n v="3"/>
    <s v="PRIMER CONTACTO"/>
    <d v="2026-03-30T14:58:27"/>
    <d v="2026-03-30T14:59:41"/>
    <s v="osiris_moran@siman.com"/>
    <s v="Osiris Gabriel Moran Cuellar"/>
    <s v="OSIRIS MORAN"/>
    <n v="3607801"/>
    <x v="0"/>
    <x v="2"/>
    <m/>
    <s v="BARAHONA CABRERA, CLARISSA SARAI_x0009_DEPENDIENTE"/>
    <m/>
    <m/>
    <m/>
    <m/>
    <m/>
    <m/>
    <m/>
    <m/>
    <m/>
    <x v="0"/>
    <m/>
    <m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0"/>
    <m/>
    <m/>
    <m/>
    <m/>
    <m/>
    <m/>
    <m/>
    <m/>
    <m/>
    <m/>
    <m/>
    <m/>
    <s v="PRIMER CONTACTO"/>
    <s v="123"/>
    <s v="No"/>
    <s v="no fue bienvenido solo lo mandaron a trabajar"/>
    <s v="Si"/>
    <s v="nombre de prueba"/>
    <s v="no"/>
    <s v="Muy Mala"/>
    <s v="se adapto muy bien"/>
    <d v="2026-05-30T00:00:00"/>
    <m/>
    <m/>
    <m/>
    <m/>
    <m/>
    <m/>
    <m/>
    <m/>
    <m/>
    <m/>
    <m/>
    <m/>
    <m/>
    <m/>
    <m/>
    <m/>
    <m/>
    <m/>
    <m/>
    <m/>
    <m/>
  </r>
  <r>
    <n v="4"/>
    <s v="SEGUNDO CONTACTO"/>
    <d v="2026-04-06T10:05:25"/>
    <d v="2026-04-06T10:06:20"/>
    <s v="osiris_moran@siman.com"/>
    <s v="Osiris Gabriel Moran Cuellar"/>
    <s v="OSIRIS MORAN"/>
    <n v="3607801"/>
    <x v="1"/>
    <x v="1"/>
    <m/>
    <m/>
    <m/>
    <m/>
    <m/>
    <m/>
    <m/>
    <m/>
    <m/>
    <m/>
    <m/>
    <x v="0"/>
    <m/>
    <m/>
    <m/>
    <m/>
    <m/>
    <m/>
    <m/>
    <m/>
    <m/>
    <m/>
    <m/>
    <m/>
    <m/>
    <m/>
    <m/>
    <m/>
    <m/>
    <x v="2"/>
    <m/>
    <s v="VELASQUEZ ORELLANA, ERNESTO ENRIQUE_x0009_1284904_x0009_DEPENDIENTE"/>
    <m/>
    <m/>
    <m/>
    <m/>
    <m/>
    <m/>
    <m/>
    <m/>
    <m/>
    <x v="0"/>
    <m/>
    <m/>
    <m/>
    <m/>
    <x v="0"/>
    <m/>
    <m/>
    <m/>
    <m/>
    <m/>
    <m/>
    <m/>
    <m/>
    <m/>
    <m/>
    <m/>
    <m/>
    <s v="SEGUNDO CONTACTO"/>
    <m/>
    <m/>
    <m/>
    <m/>
    <m/>
    <m/>
    <m/>
    <m/>
    <m/>
    <s v="2323423"/>
    <s v="ARSDSFG"/>
    <s v="23123"/>
    <s v="DFSDFSD"/>
    <d v="2026-04-01T00:00:00"/>
    <n v="7"/>
    <n v="7"/>
    <s v="ASDSDA"/>
    <n v="7"/>
    <s v="DFSDFS"/>
    <d v="2026-06-08T00:00:00"/>
    <m/>
    <m/>
    <m/>
    <m/>
    <m/>
    <m/>
    <m/>
    <m/>
    <m/>
    <m/>
  </r>
  <r>
    <n v="5"/>
    <s v="PRIMER CONTACTO"/>
    <d v="2026-04-06T10:54:54"/>
    <d v="2026-04-06T11:06:10"/>
    <s v="lizeth_perez@siman.com"/>
    <s v="Stephanie Lizeth Ballina Perez"/>
    <s v="Stephanie Ballina Perez"/>
    <n v="2142703"/>
    <x v="2"/>
    <x v="1"/>
    <m/>
    <m/>
    <m/>
    <m/>
    <m/>
    <m/>
    <m/>
    <m/>
    <m/>
    <m/>
    <m/>
    <x v="0"/>
    <m/>
    <m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1"/>
    <m/>
    <m/>
    <m/>
    <s v="CORRALES RIVERA, KRISTEL DARIANA_x0009_2371703_x0009_DEPENDIENTE"/>
    <m/>
    <m/>
    <m/>
    <m/>
    <m/>
    <m/>
    <m/>
    <m/>
    <s v="PRIMER CONTACTO"/>
    <s v="2371703"/>
    <s v="Si"/>
    <s v="Fue muy bonita, muy cálida, tuvieron mucho entendimiento ya que era nueva."/>
    <s v="Si"/>
    <s v="Sayling Delgado"/>
    <s v="si"/>
    <s v="Excelente"/>
    <m/>
    <m/>
    <m/>
    <m/>
    <m/>
    <m/>
    <m/>
    <m/>
    <m/>
    <m/>
    <m/>
    <m/>
    <m/>
    <m/>
    <m/>
    <m/>
    <m/>
    <m/>
    <m/>
    <m/>
    <m/>
    <m/>
    <m/>
  </r>
  <r>
    <n v="6"/>
    <s v="PRIMER CONTACTO"/>
    <d v="2026-04-06T11:06:45"/>
    <d v="2026-04-06T11:09:24"/>
    <s v="lizeth_perez@siman.com"/>
    <s v="Stephanie Lizeth Ballina Perez"/>
    <s v="Stephanie Ballina Perez"/>
    <n v="2142703"/>
    <x v="2"/>
    <x v="1"/>
    <m/>
    <m/>
    <m/>
    <m/>
    <m/>
    <m/>
    <m/>
    <m/>
    <m/>
    <m/>
    <m/>
    <x v="0"/>
    <m/>
    <m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1"/>
    <m/>
    <m/>
    <m/>
    <s v="AGUILAR GONZALEZ, KIARA SOFIA_x0009_2499503_x0009_DEPENDIENTE"/>
    <m/>
    <m/>
    <m/>
    <m/>
    <m/>
    <m/>
    <m/>
    <m/>
    <s v="PRIMER CONTACTO"/>
    <s v="2371703"/>
    <s v="Si"/>
    <s v="Fue una bienvenida muy tranquila ya que me explicaron todo sobre la tienda y son muy atentas todas."/>
    <s v="Si"/>
    <s v="Nicole Navarrete"/>
    <s v="si"/>
    <s v="Excelente"/>
    <m/>
    <m/>
    <m/>
    <m/>
    <m/>
    <m/>
    <m/>
    <m/>
    <m/>
    <m/>
    <m/>
    <m/>
    <m/>
    <m/>
    <m/>
    <m/>
    <m/>
    <m/>
    <m/>
    <m/>
    <m/>
    <m/>
    <m/>
  </r>
  <r>
    <m/>
    <s v="PRIMER CONTACTO"/>
    <m/>
    <m/>
    <m/>
    <m/>
    <m/>
    <m/>
    <x v="3"/>
    <x v="1"/>
    <m/>
    <m/>
    <m/>
    <m/>
    <m/>
    <m/>
    <m/>
    <m/>
    <m/>
    <m/>
    <m/>
    <x v="0"/>
    <m/>
    <m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0"/>
    <m/>
    <m/>
    <m/>
    <m/>
    <m/>
    <m/>
    <m/>
    <m/>
    <m/>
    <m/>
    <m/>
    <m/>
    <s v="PRIMER CONTACTO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"/>
    <s v="PRIMER CONTACTO"/>
    <d v="2026-04-06T16:38:09"/>
    <d v="2026-04-06T16:38:43"/>
    <s v="osiris_moran@siman.com"/>
    <s v="Osiris Gabriel Moran Cuellar"/>
    <s v="OSIRIS MORAN|"/>
    <n v="3607801"/>
    <x v="2"/>
    <x v="1"/>
    <m/>
    <m/>
    <m/>
    <m/>
    <m/>
    <m/>
    <m/>
    <m/>
    <m/>
    <m/>
    <m/>
    <x v="0"/>
    <m/>
    <m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2"/>
    <m/>
    <m/>
    <m/>
    <m/>
    <m/>
    <m/>
    <m/>
    <m/>
    <s v="CALDERON SANCHO, SCARLETTE PAOLA_x0009_2480703_x0009_DEPENDIENTE"/>
    <m/>
    <m/>
    <m/>
    <s v="PRIMER CONTACTO"/>
    <s v="4444444"/>
    <s v="Si"/>
    <s v="4444"/>
    <s v="No"/>
    <s v="SDFSDF"/>
    <s v="qeqweq"/>
    <s v="Excelente"/>
    <s v="muy buena"/>
    <d v="2026-06-08T00:00:00"/>
    <m/>
    <m/>
    <m/>
    <m/>
    <m/>
    <m/>
    <m/>
    <m/>
    <m/>
    <m/>
    <m/>
    <m/>
    <m/>
    <m/>
    <m/>
    <m/>
    <m/>
    <m/>
    <m/>
    <m/>
    <m/>
  </r>
  <r>
    <n v="8"/>
    <s v="TERCER CONTACTO"/>
    <d v="2026-04-06T18:24:08"/>
    <d v="2026-04-06T18:24:59"/>
    <s v="osiris_moran@siman.com"/>
    <s v="Osiris Gabriel Moran Cuellar"/>
    <s v="osiris moran1"/>
    <n v="123456"/>
    <x v="4"/>
    <x v="1"/>
    <m/>
    <m/>
    <m/>
    <m/>
    <m/>
    <m/>
    <m/>
    <m/>
    <m/>
    <m/>
    <m/>
    <x v="1"/>
    <m/>
    <m/>
    <m/>
    <m/>
    <s v="MENDEZ GARCIA, DAVID ALEJANDRO_x0009_2453406_x0009_SEGUNDO ENCARGADO"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0"/>
    <m/>
    <m/>
    <m/>
    <m/>
    <m/>
    <m/>
    <m/>
    <m/>
    <m/>
    <m/>
    <m/>
    <m/>
    <s v="TERCER CONTACTO"/>
    <m/>
    <m/>
    <m/>
    <m/>
    <m/>
    <m/>
    <m/>
    <m/>
    <m/>
    <m/>
    <m/>
    <m/>
    <m/>
    <m/>
    <m/>
    <m/>
    <m/>
    <m/>
    <m/>
    <m/>
    <s v="ewerwe"/>
    <s v="wet24"/>
    <s v="etsda"/>
    <s v="NO"/>
    <s v="NO"/>
    <n v="1"/>
    <s v="12"/>
    <m/>
    <m/>
    <m/>
  </r>
  <r>
    <m/>
    <n v="0"/>
    <m/>
    <m/>
    <m/>
    <m/>
    <m/>
    <m/>
    <x v="3"/>
    <x v="1"/>
    <m/>
    <m/>
    <m/>
    <m/>
    <m/>
    <m/>
    <m/>
    <m/>
    <m/>
    <m/>
    <m/>
    <x v="0"/>
    <m/>
    <m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"/>
    <s v="SEGUNDO CONTACTO"/>
    <d v="2026-04-07T14:19:58"/>
    <d v="2026-04-07T14:21:20"/>
    <s v="osiris_moran@siman.com"/>
    <s v="Osiris Gabriel Moran Cuellar"/>
    <s v="OSIRIS MORAN"/>
    <s v="3229106"/>
    <x v="4"/>
    <x v="1"/>
    <m/>
    <m/>
    <m/>
    <m/>
    <m/>
    <m/>
    <m/>
    <m/>
    <m/>
    <m/>
    <m/>
    <x v="2"/>
    <m/>
    <s v="NAJERA PAREDES, DERICK JOSE ANDRES_x0009_3229106_x0009_AUXILIAR DE ALMACEN"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0"/>
    <m/>
    <m/>
    <m/>
    <m/>
    <m/>
    <m/>
    <m/>
    <m/>
    <m/>
    <m/>
    <m/>
    <m/>
    <s v="SEGUNDO CONTACTO"/>
    <m/>
    <m/>
    <m/>
    <m/>
    <m/>
    <m/>
    <m/>
    <m/>
    <m/>
    <s v="3229106 "/>
    <s v="NOMBRE DE PRUEBA"/>
    <m/>
    <s v="ENCARGADO DE PREUBA"/>
    <d v="2026-04-07T00:00:00"/>
    <n v="8"/>
    <n v="8"/>
    <s v="HOLA"/>
    <n v="8"/>
    <s v="SI SI"/>
    <d v="2026-06-16T00:00:00"/>
    <m/>
    <m/>
    <m/>
    <m/>
    <m/>
    <m/>
    <m/>
    <m/>
    <m/>
    <m/>
  </r>
  <r>
    <m/>
    <n v="0"/>
    <m/>
    <m/>
    <m/>
    <m/>
    <m/>
    <m/>
    <x v="3"/>
    <x v="1"/>
    <m/>
    <m/>
    <m/>
    <m/>
    <m/>
    <m/>
    <m/>
    <m/>
    <m/>
    <m/>
    <m/>
    <x v="0"/>
    <m/>
    <m/>
    <m/>
    <m/>
    <m/>
    <m/>
    <m/>
    <m/>
    <m/>
    <m/>
    <m/>
    <m/>
    <m/>
    <m/>
    <m/>
    <m/>
    <m/>
    <x v="0"/>
    <m/>
    <m/>
    <m/>
    <m/>
    <m/>
    <m/>
    <m/>
    <m/>
    <m/>
    <m/>
    <m/>
    <x v="0"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ECC44-9BB1-493C-B845-54F57C1D0696}" name="PivotTable2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10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6">
    <field x="8"/>
    <field x="9"/>
    <field x="21"/>
    <field x="39"/>
    <field x="51"/>
    <field x="56"/>
  </rowFields>
  <rowItems count="44">
    <i>
      <x/>
    </i>
    <i r="1">
      <x v="2"/>
    </i>
    <i r="2">
      <x v="1"/>
    </i>
    <i r="3">
      <x v="2"/>
    </i>
    <i r="4">
      <x/>
    </i>
    <i r="5">
      <x/>
    </i>
    <i r="5">
      <x v="1"/>
    </i>
    <i>
      <x v="1"/>
    </i>
    <i r="1">
      <x v="2"/>
    </i>
    <i r="2">
      <x/>
    </i>
    <i r="3">
      <x v="2"/>
    </i>
    <i r="4">
      <x/>
    </i>
    <i r="5">
      <x v="2"/>
    </i>
    <i r="2">
      <x v="2"/>
    </i>
    <i r="3">
      <x v="2"/>
    </i>
    <i r="4">
      <x/>
    </i>
    <i r="5">
      <x v="2"/>
    </i>
    <i>
      <x v="2"/>
    </i>
    <i r="1">
      <x v="2"/>
    </i>
    <i r="2">
      <x v="1"/>
    </i>
    <i r="3">
      <x/>
    </i>
    <i r="4">
      <x/>
    </i>
    <i r="5">
      <x v="2"/>
    </i>
    <i r="3">
      <x v="1"/>
    </i>
    <i r="4">
      <x/>
    </i>
    <i r="5">
      <x v="2"/>
    </i>
    <i>
      <x v="3"/>
    </i>
    <i r="1">
      <x/>
    </i>
    <i r="2">
      <x v="1"/>
    </i>
    <i r="3">
      <x v="2"/>
    </i>
    <i r="4">
      <x/>
    </i>
    <i r="5">
      <x v="2"/>
    </i>
    <i r="1">
      <x v="1"/>
    </i>
    <i r="2">
      <x v="1"/>
    </i>
    <i r="3">
      <x v="2"/>
    </i>
    <i r="4">
      <x/>
    </i>
    <i r="5">
      <x v="2"/>
    </i>
    <i>
      <x v="4"/>
    </i>
    <i r="1">
      <x v="2"/>
    </i>
    <i r="2">
      <x v="1"/>
    </i>
    <i r="3">
      <x v="2"/>
    </i>
    <i r="4">
      <x/>
    </i>
    <i r="5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5AE9E-F1D4-4DD1-8158-A3F91DA40E8C}" name="PivotTable6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3" firstDataCol="1" rowPageCount="1" colPageCount="1"/>
  <pivotFields count="100">
    <pivotField dataField="1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axis="axisPage" showAll="0">
      <items count="6">
        <item x="2"/>
        <item x="4"/>
        <item x="1"/>
        <item x="0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5"/>
  </rowFields>
  <rowItems count="5">
    <i>
      <x/>
    </i>
    <i r="1">
      <x v="1"/>
    </i>
    <i>
      <x v="1"/>
    </i>
    <i r="1">
      <x v="1"/>
    </i>
    <i t="grand">
      <x/>
    </i>
  </rowItems>
  <colFields count="2">
    <field x="71"/>
    <field x="-2"/>
  </colFields>
  <colItems count="6">
    <i>
      <x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8" item="3" hier="-1"/>
  </pageFields>
  <dataFields count="3">
    <dataField name="Sum of Id" fld="0" baseField="0" baseItem="0"/>
    <dataField name="Count of Comentarios sobre la bienvenida." fld="72" subtotal="count" baseField="0" baseItem="0"/>
    <dataField name="Count of ¿Se presentó a su formador?" fld="7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CV14" totalsRowShown="0">
  <autoFilter ref="A1:CV14" xr:uid="{00000000-0009-0000-0100-000001000000}"/>
  <tableColumns count="100">
    <tableColumn id="1" xr3:uid="{00000000-0010-0000-0000-000001000000}" name="Id" dataDxfId="93">
      <extLst>
        <ext xmlns:xlmsforms="http://schemas.microsoft.com/office/spreadsheetml/2023/msForms" uri="{FCC71383-01E1-4257-9335-427F07BE8D7F}">
          <xlmsforms:question id="id"/>
        </ext>
      </extLst>
    </tableColumn>
    <tableColumn id="100" xr3:uid="{4746AEC5-450A-4022-8AB1-394F5D8BBE8E}" name="Column1" dataDxfId="92">
      <calculatedColumnFormula>OfficeForms.Table[[#This Row],[SELECCIONA EL CONTACTO]]</calculatedColumnFormula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9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9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 COMPLETO (ENCAGADO DE RH O RECLUTAMIENTO)" dataDxfId="89">
      <extLst>
        <ext xmlns:xlmsforms="http://schemas.microsoft.com/office/spreadsheetml/2023/msForms" uri="{FCC71383-01E1-4257-9335-427F07BE8D7F}">
          <xlmsforms:question id="r80f43fff48f740dabc98342e09724866"/>
        </ext>
      </extLst>
    </tableColumn>
    <tableColumn id="7" xr3:uid="{00000000-0010-0000-0000-000007000000}" name="ID DE COLABORADOR DEL EMPLEADO A ENTREVISTAR" dataDxfId="88">
      <extLst>
        <ext xmlns:xlmsforms="http://schemas.microsoft.com/office/spreadsheetml/2023/msForms" uri="{FCC71383-01E1-4257-9335-427F07BE8D7F}">
          <xlmsforms:question id="rdee48351faeb458394158be17fcae3da"/>
        </ext>
      </extLst>
    </tableColumn>
    <tableColumn id="8" xr3:uid="{00000000-0010-0000-0000-000008000000}" name="SELECCIONA EL PAÍS." dataDxfId="87">
      <extLst>
        <ext xmlns:xlmsforms="http://schemas.microsoft.com/office/spreadsheetml/2023/msForms" uri="{FCC71383-01E1-4257-9335-427F07BE8D7F}">
          <xlmsforms:question id="r139a20366b714c169bda25e8d2c14575"/>
        </ext>
      </extLst>
    </tableColumn>
    <tableColumn id="9" xr3:uid="{00000000-0010-0000-0000-000009000000}" name="TIENDAS EN EL SALVADOR" dataDxfId="86">
      <extLst>
        <ext xmlns:xlmsforms="http://schemas.microsoft.com/office/spreadsheetml/2023/msForms" uri="{FCC71383-01E1-4257-9335-427F07BE8D7F}">
          <xlmsforms:question id="r4952e8afc271495db3d0d36c2a7e9d16"/>
        </ext>
      </extLst>
    </tableColumn>
    <tableColumn id="10" xr3:uid="{00000000-0010-0000-0000-00000A000000}" name="BERSHKA GALERIAS" dataDxfId="85">
      <extLst>
        <ext xmlns:xlmsforms="http://schemas.microsoft.com/office/spreadsheetml/2023/msForms" uri="{FCC71383-01E1-4257-9335-427F07BE8D7F}">
          <xlmsforms:question id="r116ffedfe49844eca59261c8f22e71f6"/>
        </ext>
      </extLst>
    </tableColumn>
    <tableColumn id="11" xr3:uid="{00000000-0010-0000-0000-00000B000000}" name="LA GRAN VIA" dataDxfId="84">
      <extLst>
        <ext xmlns:xlmsforms="http://schemas.microsoft.com/office/spreadsheetml/2023/msForms" uri="{FCC71383-01E1-4257-9335-427F07BE8D7F}">
          <xlmsforms:question id="rd477c183b0a54ecdbd0b30d4f7d0141e"/>
        </ext>
      </extLst>
    </tableColumn>
    <tableColumn id="12" xr3:uid="{00000000-0010-0000-0000-00000C000000}" name="OFICINAS CORPORATIVAS" dataDxfId="83">
      <extLst>
        <ext xmlns:xlmsforms="http://schemas.microsoft.com/office/spreadsheetml/2023/msForms" uri="{FCC71383-01E1-4257-9335-427F07BE8D7F}">
          <xlmsforms:question id="r8abbed811a6c4e46b18aa20e09cfc21a"/>
        </ext>
      </extLst>
    </tableColumn>
    <tableColumn id="13" xr3:uid="{00000000-0010-0000-0000-00000D000000}" name="FLYING TIGER" dataDxfId="82">
      <extLst>
        <ext xmlns:xlmsforms="http://schemas.microsoft.com/office/spreadsheetml/2023/msForms" uri="{FCC71383-01E1-4257-9335-427F07BE8D7F}">
          <xlmsforms:question id="rebf3a893e94a46ff883cc04f95af1e6f"/>
        </ext>
      </extLst>
    </tableColumn>
    <tableColumn id="14" xr3:uid="{00000000-0010-0000-0000-00000E000000}" name="OYSHO LA GRAN VIA" dataDxfId="81">
      <extLst>
        <ext xmlns:xlmsforms="http://schemas.microsoft.com/office/spreadsheetml/2023/msForms" uri="{FCC71383-01E1-4257-9335-427F07BE8D7F}">
          <xlmsforms:question id="r7848f9f027884ecd8c3405a028f2753f"/>
        </ext>
      </extLst>
    </tableColumn>
    <tableColumn id="15" xr3:uid="{00000000-0010-0000-0000-00000F000000}" name="PACKING SV" dataDxfId="80">
      <extLst>
        <ext xmlns:xlmsforms="http://schemas.microsoft.com/office/spreadsheetml/2023/msForms" uri="{FCC71383-01E1-4257-9335-427F07BE8D7F}">
          <xlmsforms:question id="r24541ffda33944859b2f93538c9103cf"/>
        </ext>
      </extLst>
    </tableColumn>
    <tableColumn id="16" xr3:uid="{00000000-0010-0000-0000-000010000000}" name="PULL AND BEAR GALERIAS" dataDxfId="79">
      <extLst>
        <ext xmlns:xlmsforms="http://schemas.microsoft.com/office/spreadsheetml/2023/msForms" uri="{FCC71383-01E1-4257-9335-427F07BE8D7F}">
          <xlmsforms:question id="r1fb75ad492064ecb8f70893773180096"/>
        </ext>
      </extLst>
    </tableColumn>
    <tableColumn id="17" xr3:uid="{00000000-0010-0000-0000-000011000000}" name="PULL AND BEAR LA GRAN VIA" dataDxfId="78">
      <extLst>
        <ext xmlns:xlmsforms="http://schemas.microsoft.com/office/spreadsheetml/2023/msForms" uri="{FCC71383-01E1-4257-9335-427F07BE8D7F}">
          <xlmsforms:question id="rbb0fee039c364517a21310452e3f754d"/>
        </ext>
      </extLst>
    </tableColumn>
    <tableColumn id="18" xr3:uid="{00000000-0010-0000-0000-000012000000}" name="STRAVARIUS GALERIAS" dataDxfId="77">
      <extLst>
        <ext xmlns:xlmsforms="http://schemas.microsoft.com/office/spreadsheetml/2023/msForms" uri="{FCC71383-01E1-4257-9335-427F07BE8D7F}">
          <xlmsforms:question id="rc12f4f6fd49842b39ba0f0aaf094de39"/>
        </ext>
      </extLst>
    </tableColumn>
    <tableColumn id="19" xr3:uid="{00000000-0010-0000-0000-000013000000}" name="STRADIVARIUS LA GRAN VIA" dataDxfId="76">
      <extLst>
        <ext xmlns:xlmsforms="http://schemas.microsoft.com/office/spreadsheetml/2023/msForms" uri="{FCC71383-01E1-4257-9335-427F07BE8D7F}">
          <xlmsforms:question id="r589dd56ecc7a4d8c820031ab70e955b2"/>
        </ext>
      </extLst>
    </tableColumn>
    <tableColumn id="20" xr3:uid="{00000000-0010-0000-0000-000014000000}" name="ZARA LA GRAN VIA" dataDxfId="75">
      <extLst>
        <ext xmlns:xlmsforms="http://schemas.microsoft.com/office/spreadsheetml/2023/msForms" uri="{FCC71383-01E1-4257-9335-427F07BE8D7F}">
          <xlmsforms:question id="r9c4278486913486eb4f171b20b8e5b2b"/>
        </ext>
      </extLst>
    </tableColumn>
    <tableColumn id="21" xr3:uid="{00000000-0010-0000-0000-000015000000}" name="SELECCIONA TU TIENDA EN GUATEMALA" dataDxfId="74">
      <extLst>
        <ext xmlns:xlmsforms="http://schemas.microsoft.com/office/spreadsheetml/2023/msForms" uri="{FCC71383-01E1-4257-9335-427F07BE8D7F}">
          <xlmsforms:question id="re9f1d4f7e0984d5dadebd581326272e2"/>
        </ext>
      </extLst>
    </tableColumn>
    <tableColumn id="22" xr3:uid="{00000000-0010-0000-0000-000016000000}" name="BSK MIRAFLORES" dataDxfId="73">
      <extLst>
        <ext xmlns:xlmsforms="http://schemas.microsoft.com/office/spreadsheetml/2023/msForms" uri="{FCC71383-01E1-4257-9335-427F07BE8D7F}">
          <xlmsforms:question id="r6cde77665a3b459f86dbb7a9069fd683"/>
        </ext>
      </extLst>
    </tableColumn>
    <tableColumn id="23" xr3:uid="{00000000-0010-0000-0000-000017000000}" name="BSK OAKLAND" dataDxfId="72">
      <extLst>
        <ext xmlns:xlmsforms="http://schemas.microsoft.com/office/spreadsheetml/2023/msForms" uri="{FCC71383-01E1-4257-9335-427F07BE8D7F}">
          <xlmsforms:question id="rdba0337cd07146bd86400e62c9dac30c"/>
        </ext>
      </extLst>
    </tableColumn>
    <tableColumn id="24" xr3:uid="{00000000-0010-0000-0000-000018000000}" name="BSK PRADERA CONCEPCCIÓN" dataDxfId="71">
      <extLst>
        <ext xmlns:xlmsforms="http://schemas.microsoft.com/office/spreadsheetml/2023/msForms" uri="{FCC71383-01E1-4257-9335-427F07BE8D7F}">
          <xlmsforms:question id="r9b206254572b4c0c81f72ab0b4cc0549"/>
        </ext>
      </extLst>
    </tableColumn>
    <tableColumn id="25" xr3:uid="{00000000-0010-0000-0000-000019000000}" name="OFICINAS CORPORATIVAS1" dataDxfId="70">
      <extLst>
        <ext xmlns:xlmsforms="http://schemas.microsoft.com/office/spreadsheetml/2023/msForms" uri="{FCC71383-01E1-4257-9335-427F07BE8D7F}">
          <xlmsforms:question id="r3b845de95e9a491cad304251a6bccd79"/>
        </ext>
      </extLst>
    </tableColumn>
    <tableColumn id="26" xr3:uid="{00000000-0010-0000-0000-00001A000000}" name="MASSIMO DUTTI" dataDxfId="69">
      <extLst>
        <ext xmlns:xlmsforms="http://schemas.microsoft.com/office/spreadsheetml/2023/msForms" uri="{FCC71383-01E1-4257-9335-427F07BE8D7F}">
          <xlmsforms:question id="rb5600976307c4acd89475663979781e5"/>
        </ext>
      </extLst>
    </tableColumn>
    <tableColumn id="27" xr3:uid="{00000000-0010-0000-0000-00001B000000}" name="OYSHO OAKLAND" dataDxfId="68">
      <extLst>
        <ext xmlns:xlmsforms="http://schemas.microsoft.com/office/spreadsheetml/2023/msForms" uri="{FCC71383-01E1-4257-9335-427F07BE8D7F}">
          <xlmsforms:question id="re13c979caccb4d27ac096bf099c52efc"/>
        </ext>
      </extLst>
    </tableColumn>
    <tableColumn id="28" xr3:uid="{00000000-0010-0000-0000-00001C000000}" name="PACKING GT" dataDxfId="67">
      <extLst>
        <ext xmlns:xlmsforms="http://schemas.microsoft.com/office/spreadsheetml/2023/msForms" uri="{FCC71383-01E1-4257-9335-427F07BE8D7F}">
          <xlmsforms:question id="rab65e490a02d473c8563a7a852e65263"/>
        </ext>
      </extLst>
    </tableColumn>
    <tableColumn id="29" xr3:uid="{00000000-0010-0000-0000-00001D000000}" name="PULL AND BEAR MIRAFLORES" dataDxfId="66">
      <extLst>
        <ext xmlns:xlmsforms="http://schemas.microsoft.com/office/spreadsheetml/2023/msForms" uri="{FCC71383-01E1-4257-9335-427F07BE8D7F}">
          <xlmsforms:question id="ra74c4a8ed8e44c31b5ca457e38e479ec"/>
        </ext>
      </extLst>
    </tableColumn>
    <tableColumn id="30" xr3:uid="{00000000-0010-0000-0000-00001E000000}" name="PULL AND BEAR OAKLAND" dataDxfId="65">
      <extLst>
        <ext xmlns:xlmsforms="http://schemas.microsoft.com/office/spreadsheetml/2023/msForms" uri="{FCC71383-01E1-4257-9335-427F07BE8D7F}">
          <xlmsforms:question id="r91b5b2990e1e482caaad5ed16a292996"/>
        </ext>
      </extLst>
    </tableColumn>
    <tableColumn id="31" xr3:uid="{00000000-0010-0000-0000-00001F000000}" name="PULL AND BEAR PRADERA CONCEPCIÓN" dataDxfId="64">
      <extLst>
        <ext xmlns:xlmsforms="http://schemas.microsoft.com/office/spreadsheetml/2023/msForms" uri="{FCC71383-01E1-4257-9335-427F07BE8D7F}">
          <xlmsforms:question id="r35525a7a55f845809f9d91f53a4f3cbe"/>
        </ext>
      </extLst>
    </tableColumn>
    <tableColumn id="32" xr3:uid="{00000000-0010-0000-0000-000020000000}" name="STRADIVARIUS MIRAFLORES" dataDxfId="63">
      <extLst>
        <ext xmlns:xlmsforms="http://schemas.microsoft.com/office/spreadsheetml/2023/msForms" uri="{FCC71383-01E1-4257-9335-427F07BE8D7F}">
          <xlmsforms:question id="rf2f164bc12054faba3468a399838f513"/>
        </ext>
      </extLst>
    </tableColumn>
    <tableColumn id="33" xr3:uid="{00000000-0010-0000-0000-000021000000}" name="STRADIVARIUS OAKLAND" dataDxfId="62">
      <extLst>
        <ext xmlns:xlmsforms="http://schemas.microsoft.com/office/spreadsheetml/2023/msForms" uri="{FCC71383-01E1-4257-9335-427F07BE8D7F}">
          <xlmsforms:question id="r12f55e857004481b80a95597653a904a"/>
        </ext>
      </extLst>
    </tableColumn>
    <tableColumn id="34" xr3:uid="{00000000-0010-0000-0000-000022000000}" name="STRADIVARIUS PRADERA CONCEPCIÓN" dataDxfId="61">
      <extLst>
        <ext xmlns:xlmsforms="http://schemas.microsoft.com/office/spreadsheetml/2023/msForms" uri="{FCC71383-01E1-4257-9335-427F07BE8D7F}">
          <xlmsforms:question id="r03b15dbe894b431ea1eca142c00a8eee"/>
        </ext>
      </extLst>
    </tableColumn>
    <tableColumn id="35" xr3:uid="{00000000-0010-0000-0000-000023000000}" name="ZARA HOME GT" dataDxfId="60">
      <extLst>
        <ext xmlns:xlmsforms="http://schemas.microsoft.com/office/spreadsheetml/2023/msForms" uri="{FCC71383-01E1-4257-9335-427F07BE8D7F}">
          <xlmsforms:question id="rf7dd1ec45f7f4e28aecf354ebe04f5b4"/>
        </ext>
      </extLst>
    </tableColumn>
    <tableColumn id="36" xr3:uid="{00000000-0010-0000-0000-000024000000}" name="ZARA MIRAFLORES" dataDxfId="59">
      <extLst>
        <ext xmlns:xlmsforms="http://schemas.microsoft.com/office/spreadsheetml/2023/msForms" uri="{FCC71383-01E1-4257-9335-427F07BE8D7F}">
          <xlmsforms:question id="rc3625dbdfae7420eb21221d346b32b69"/>
        </ext>
      </extLst>
    </tableColumn>
    <tableColumn id="37" xr3:uid="{00000000-0010-0000-0000-000025000000}" name="ZARA OAKLAND" dataDxfId="58">
      <extLst>
        <ext xmlns:xlmsforms="http://schemas.microsoft.com/office/spreadsheetml/2023/msForms" uri="{FCC71383-01E1-4257-9335-427F07BE8D7F}">
          <xlmsforms:question id="r1668f4f90fff430e94da4072191d5f6a"/>
        </ext>
      </extLst>
    </tableColumn>
    <tableColumn id="38" xr3:uid="{00000000-0010-0000-0000-000026000000}" name="ZARA PRADERA CONCEPCIÓN" dataDxfId="57">
      <extLst>
        <ext xmlns:xlmsforms="http://schemas.microsoft.com/office/spreadsheetml/2023/msForms" uri="{FCC71383-01E1-4257-9335-427F07BE8D7F}">
          <xlmsforms:question id="rca4c781eaa8648a3a4751e70c190de80"/>
        </ext>
      </extLst>
    </tableColumn>
    <tableColumn id="39" xr3:uid="{00000000-0010-0000-0000-000027000000}" name="SELECCIONA LA TIENDA EN HONDURAS" dataDxfId="56">
      <extLst>
        <ext xmlns:xlmsforms="http://schemas.microsoft.com/office/spreadsheetml/2023/msForms" uri="{FCC71383-01E1-4257-9335-427F07BE8D7F}">
          <xlmsforms:question id="r28bc90f86e6742128dcf6ca2c7426f17"/>
        </ext>
      </extLst>
    </tableColumn>
    <tableColumn id="40" xr3:uid="{00000000-0010-0000-0000-000028000000}" name="BSK SAN PEDRO SULA" dataDxfId="55">
      <extLst>
        <ext xmlns:xlmsforms="http://schemas.microsoft.com/office/spreadsheetml/2023/msForms" uri="{FCC71383-01E1-4257-9335-427F07BE8D7F}">
          <xlmsforms:question id="rb21d7ed6f69341c09c6e43990eb6034a"/>
        </ext>
      </extLst>
    </tableColumn>
    <tableColumn id="41" xr3:uid="{00000000-0010-0000-0000-000029000000}" name="BSK TEGUCIGALPA" dataDxfId="54">
      <extLst>
        <ext xmlns:xlmsforms="http://schemas.microsoft.com/office/spreadsheetml/2023/msForms" uri="{FCC71383-01E1-4257-9335-427F07BE8D7F}">
          <xlmsforms:question id="r88e60652c0cc49da8723a0aec50a8daf"/>
        </ext>
      </extLst>
    </tableColumn>
    <tableColumn id="42" xr3:uid="{00000000-0010-0000-0000-00002A000000}" name="MASSIMO DUTTI TEGUCIGALPA" dataDxfId="53">
      <extLst>
        <ext xmlns:xlmsforms="http://schemas.microsoft.com/office/spreadsheetml/2023/msForms" uri="{FCC71383-01E1-4257-9335-427F07BE8D7F}">
          <xlmsforms:question id="r753f567f3aad49729bb944363607ca08"/>
        </ext>
      </extLst>
    </tableColumn>
    <tableColumn id="43" xr3:uid="{00000000-0010-0000-0000-00002B000000}" name="OYSHO TEGUCIGALPA" dataDxfId="52">
      <extLst>
        <ext xmlns:xlmsforms="http://schemas.microsoft.com/office/spreadsheetml/2023/msForms" uri="{FCC71383-01E1-4257-9335-427F07BE8D7F}">
          <xlmsforms:question id="r54b826395e95480ebd5c96a1e8fe9cdb"/>
        </ext>
      </extLst>
    </tableColumn>
    <tableColumn id="44" xr3:uid="{00000000-0010-0000-0000-00002C000000}" name="PULL AND BEAR SAN PEDRO SULA" dataDxfId="51">
      <extLst>
        <ext xmlns:xlmsforms="http://schemas.microsoft.com/office/spreadsheetml/2023/msForms" uri="{FCC71383-01E1-4257-9335-427F07BE8D7F}">
          <xlmsforms:question id="re7426fb73d1947339189846da1fecf62"/>
        </ext>
      </extLst>
    </tableColumn>
    <tableColumn id="45" xr3:uid="{00000000-0010-0000-0000-00002D000000}" name="PULL AND BEAR TEGUCIGALPA" dataDxfId="50">
      <extLst>
        <ext xmlns:xlmsforms="http://schemas.microsoft.com/office/spreadsheetml/2023/msForms" uri="{FCC71383-01E1-4257-9335-427F07BE8D7F}">
          <xlmsforms:question id="r4ab470b86d514318a076e4e06d89f13d"/>
        </ext>
      </extLst>
    </tableColumn>
    <tableColumn id="46" xr3:uid="{00000000-0010-0000-0000-00002E000000}" name="STRADIVARIUS SAN PEDRO SULA" dataDxfId="49">
      <extLst>
        <ext xmlns:xlmsforms="http://schemas.microsoft.com/office/spreadsheetml/2023/msForms" uri="{FCC71383-01E1-4257-9335-427F07BE8D7F}">
          <xlmsforms:question id="rf6d7bf90bea84c1db0803f111b4b22f2"/>
        </ext>
      </extLst>
    </tableColumn>
    <tableColumn id="47" xr3:uid="{00000000-0010-0000-0000-00002F000000}" name="STRADIVARIUS TEGUCIGALPA" dataDxfId="48">
      <extLst>
        <ext xmlns:xlmsforms="http://schemas.microsoft.com/office/spreadsheetml/2023/msForms" uri="{FCC71383-01E1-4257-9335-427F07BE8D7F}">
          <xlmsforms:question id="r121c39f58d9a4e448b475324fc5786e9"/>
        </ext>
      </extLst>
    </tableColumn>
    <tableColumn id="48" xr3:uid="{00000000-0010-0000-0000-000030000000}" name="ZARA CITY MALL" dataDxfId="47">
      <extLst>
        <ext xmlns:xlmsforms="http://schemas.microsoft.com/office/spreadsheetml/2023/msForms" uri="{FCC71383-01E1-4257-9335-427F07BE8D7F}">
          <xlmsforms:question id="r98c4a4bda94347feb805b917290b4102"/>
        </ext>
      </extLst>
    </tableColumn>
    <tableColumn id="49" xr3:uid="{00000000-0010-0000-0000-000031000000}" name="ZARA HOME TEGUCIGALPA" dataDxfId="46">
      <extLst>
        <ext xmlns:xlmsforms="http://schemas.microsoft.com/office/spreadsheetml/2023/msForms" uri="{FCC71383-01E1-4257-9335-427F07BE8D7F}">
          <xlmsforms:question id="rff05564b8f904049999d95a0c45f8a54"/>
        </ext>
      </extLst>
    </tableColumn>
    <tableColumn id="50" xr3:uid="{00000000-0010-0000-0000-000032000000}" name="ZARA TEGUCIGALPA" dataDxfId="45">
      <extLst>
        <ext xmlns:xlmsforms="http://schemas.microsoft.com/office/spreadsheetml/2023/msForms" uri="{FCC71383-01E1-4257-9335-427F07BE8D7F}">
          <xlmsforms:question id="r61b6168f2f7c4b3db865a268be398730"/>
        </ext>
      </extLst>
    </tableColumn>
    <tableColumn id="51" xr3:uid="{00000000-0010-0000-0000-000033000000}" name="SELECCIONA TU TIENDA EN NICARAGUA" dataDxfId="44">
      <extLst>
        <ext xmlns:xlmsforms="http://schemas.microsoft.com/office/spreadsheetml/2023/msForms" uri="{FCC71383-01E1-4257-9335-427F07BE8D7F}">
          <xlmsforms:question id="r800aa7332a4544eebd3133c072df28c8"/>
        </ext>
      </extLst>
    </tableColumn>
    <tableColumn id="52" xr3:uid="{00000000-0010-0000-0000-000034000000}" name="BSK SANTO DOMINGO" dataDxfId="43">
      <extLst>
        <ext xmlns:xlmsforms="http://schemas.microsoft.com/office/spreadsheetml/2023/msForms" uri="{FCC71383-01E1-4257-9335-427F07BE8D7F}">
          <xlmsforms:question id="re41bb185cd29483fa37b183759a132c2"/>
        </ext>
      </extLst>
    </tableColumn>
    <tableColumn id="53" xr3:uid="{00000000-0010-0000-0000-000035000000}" name="PULL AND BEAR SANTO DOMINGO" dataDxfId="42">
      <extLst>
        <ext xmlns:xlmsforms="http://schemas.microsoft.com/office/spreadsheetml/2023/msForms" uri="{FCC71383-01E1-4257-9335-427F07BE8D7F}">
          <xlmsforms:question id="r43e390764230402fadea1ae29c1ccd18"/>
        </ext>
      </extLst>
    </tableColumn>
    <tableColumn id="54" xr3:uid="{00000000-0010-0000-0000-000036000000}" name="STRADIVARIUS SANTO DOMINGO" dataDxfId="41">
      <extLst>
        <ext xmlns:xlmsforms="http://schemas.microsoft.com/office/spreadsheetml/2023/msForms" uri="{FCC71383-01E1-4257-9335-427F07BE8D7F}">
          <xlmsforms:question id="r52fac988b54a4ef694bf6f7113711f8f"/>
        </ext>
      </extLst>
    </tableColumn>
    <tableColumn id="55" xr3:uid="{00000000-0010-0000-0000-000037000000}" name="ZARA SANTO DOMINGO" dataDxfId="40">
      <extLst>
        <ext xmlns:xlmsforms="http://schemas.microsoft.com/office/spreadsheetml/2023/msForms" uri="{FCC71383-01E1-4257-9335-427F07BE8D7F}">
          <xlmsforms:question id="r242790ac972449e99630458e736251a7"/>
        </ext>
      </extLst>
    </tableColumn>
    <tableColumn id="56" xr3:uid="{00000000-0010-0000-0000-000038000000}" name="SELECCIONA LA TIENDA DE COSTA RICA" dataDxfId="39">
      <extLst>
        <ext xmlns:xlmsforms="http://schemas.microsoft.com/office/spreadsheetml/2023/msForms" uri="{FCC71383-01E1-4257-9335-427F07BE8D7F}">
          <xlmsforms:question id="rcd36de4178d945b098e8c59bb418640c"/>
        </ext>
      </extLst>
    </tableColumn>
    <tableColumn id="57" xr3:uid="{00000000-0010-0000-0000-000039000000}" name="BERSHKA MULTIPLAZA DEL ESTE" dataDxfId="38">
      <extLst>
        <ext xmlns:xlmsforms="http://schemas.microsoft.com/office/spreadsheetml/2023/msForms" uri="{FCC71383-01E1-4257-9335-427F07BE8D7F}">
          <xlmsforms:question id="re6b5805077984c11ab96310434698f89"/>
        </ext>
      </extLst>
    </tableColumn>
    <tableColumn id="58" xr3:uid="{00000000-0010-0000-0000-00003A000000}" name="BSK MULTIPLAZA ESCAZU" dataDxfId="37">
      <extLst>
        <ext xmlns:xlmsforms="http://schemas.microsoft.com/office/spreadsheetml/2023/msForms" uri="{FCC71383-01E1-4257-9335-427F07BE8D7F}">
          <xlmsforms:question id="r278d988c7a944d628d8f4a542d720a23"/>
        </ext>
      </extLst>
    </tableColumn>
    <tableColumn id="59" xr3:uid="{00000000-0010-0000-0000-00003B000000}" name="ZARA HOME COSTA RICA" dataDxfId="36">
      <extLst>
        <ext xmlns:xlmsforms="http://schemas.microsoft.com/office/spreadsheetml/2023/msForms" uri="{FCC71383-01E1-4257-9335-427F07BE8D7F}">
          <xlmsforms:question id="r750729ceb25641c8b1794c83e830e443"/>
        </ext>
      </extLst>
    </tableColumn>
    <tableColumn id="60" xr3:uid="{00000000-0010-0000-0000-00003C000000}" name="MASSIMO DUTTI ESCAZU" dataDxfId="35">
      <extLst>
        <ext xmlns:xlmsforms="http://schemas.microsoft.com/office/spreadsheetml/2023/msForms" uri="{FCC71383-01E1-4257-9335-427F07BE8D7F}">
          <xlmsforms:question id="r08827906de174131838b50089b99a8c9"/>
        </ext>
      </extLst>
    </tableColumn>
    <tableColumn id="61" xr3:uid="{00000000-0010-0000-0000-00003D000000}" name="OFICINAS CR" dataDxfId="34">
      <extLst>
        <ext xmlns:xlmsforms="http://schemas.microsoft.com/office/spreadsheetml/2023/msForms" uri="{FCC71383-01E1-4257-9335-427F07BE8D7F}">
          <xlmsforms:question id="rfb2706136c2d47b7bafc5ca2b6550c59"/>
        </ext>
      </extLst>
    </tableColumn>
    <tableColumn id="62" xr3:uid="{00000000-0010-0000-0000-00003E000000}" name="OYSHO ESCAZU" dataDxfId="33">
      <extLst>
        <ext xmlns:xlmsforms="http://schemas.microsoft.com/office/spreadsheetml/2023/msForms" uri="{FCC71383-01E1-4257-9335-427F07BE8D7F}">
          <xlmsforms:question id="r581ff027b04c4fdc8aade7cb422c3fb2"/>
        </ext>
      </extLst>
    </tableColumn>
    <tableColumn id="63" xr3:uid="{00000000-0010-0000-0000-00003F000000}" name="PULL AND BEAR DEL ESTE" dataDxfId="32">
      <extLst>
        <ext xmlns:xlmsforms="http://schemas.microsoft.com/office/spreadsheetml/2023/msForms" uri="{FCC71383-01E1-4257-9335-427F07BE8D7F}">
          <xlmsforms:question id="r45b7b9fbe59941eb8e2f2f35f68466cd"/>
        </ext>
      </extLst>
    </tableColumn>
    <tableColumn id="64" xr3:uid="{00000000-0010-0000-0000-000040000000}" name="PULL AND BEAR ESCAZU" dataDxfId="31">
      <extLst>
        <ext xmlns:xlmsforms="http://schemas.microsoft.com/office/spreadsheetml/2023/msForms" uri="{FCC71383-01E1-4257-9335-427F07BE8D7F}">
          <xlmsforms:question id="ra21e033154074b86818ced9259e1fd9f"/>
        </ext>
      </extLst>
    </tableColumn>
    <tableColumn id="65" xr3:uid="{00000000-0010-0000-0000-000041000000}" name="STRADIVARIUS DEL ESTE" dataDxfId="30">
      <extLst>
        <ext xmlns:xlmsforms="http://schemas.microsoft.com/office/spreadsheetml/2023/msForms" uri="{FCC71383-01E1-4257-9335-427F07BE8D7F}">
          <xlmsforms:question id="r9e346a11b5f5472e838bec66786826c6"/>
        </ext>
      </extLst>
    </tableColumn>
    <tableColumn id="66" xr3:uid="{00000000-0010-0000-0000-000042000000}" name="STRADIVARIUS ESCAZU" dataDxfId="29">
      <extLst>
        <ext xmlns:xlmsforms="http://schemas.microsoft.com/office/spreadsheetml/2023/msForms" uri="{FCC71383-01E1-4257-9335-427F07BE8D7F}">
          <xlmsforms:question id="r7747c423ffb94118b60c546defb5ec72"/>
        </ext>
      </extLst>
    </tableColumn>
    <tableColumn id="67" xr3:uid="{00000000-0010-0000-0000-000043000000}" name="ZARA DEL ESTE" dataDxfId="28">
      <extLst>
        <ext xmlns:xlmsforms="http://schemas.microsoft.com/office/spreadsheetml/2023/msForms" uri="{FCC71383-01E1-4257-9335-427F07BE8D7F}">
          <xlmsforms:question id="rf19d998edda34962a01d57096152965e"/>
        </ext>
      </extLst>
    </tableColumn>
    <tableColumn id="68" xr3:uid="{00000000-0010-0000-0000-000044000000}" name="ZARA ESCAZU" dataDxfId="27">
      <extLst>
        <ext xmlns:xlmsforms="http://schemas.microsoft.com/office/spreadsheetml/2023/msForms" uri="{FCC71383-01E1-4257-9335-427F07BE8D7F}">
          <xlmsforms:question id="rcbc5e4487295443b9ae9105379f30ed5"/>
        </ext>
      </extLst>
    </tableColumn>
    <tableColumn id="69" xr3:uid="{00000000-0010-0000-0000-000045000000}" name="SELECCIONA EL CONTACTO" dataDxfId="26">
      <extLst>
        <ext xmlns:xlmsforms="http://schemas.microsoft.com/office/spreadsheetml/2023/msForms" uri="{FCC71383-01E1-4257-9335-427F07BE8D7F}">
          <xlmsforms:question id="r1bce4f97db4b474b939e881ea443be06"/>
        </ext>
      </extLst>
    </tableColumn>
    <tableColumn id="70" xr3:uid="{00000000-0010-0000-0000-000046000000}" name="ESCRIBE EL CODIGO DE COLABORADOR" dataDxfId="25">
      <extLst>
        <ext xmlns:xlmsforms="http://schemas.microsoft.com/office/spreadsheetml/2023/msForms" uri="{FCC71383-01E1-4257-9335-427F07BE8D7F}">
          <xlmsforms:question id="r5561c68d6fbc4aeb876320af436fda49"/>
        </ext>
      </extLst>
    </tableColumn>
    <tableColumn id="71" xr3:uid="{00000000-0010-0000-0000-000047000000}" name="Se Sintió Bienvenido" dataDxfId="24">
      <extLst>
        <ext xmlns:xlmsforms="http://schemas.microsoft.com/office/spreadsheetml/2023/msForms" uri="{FCC71383-01E1-4257-9335-427F07BE8D7F}">
          <xlmsforms:question id="r0f3e4e3d9836414dba4dcb83ef0edd77"/>
        </ext>
      </extLst>
    </tableColumn>
    <tableColumn id="72" xr3:uid="{00000000-0010-0000-0000-000048000000}" name="Comentarios sobre la bienvenida." dataDxfId="23">
      <extLst>
        <ext xmlns:xlmsforms="http://schemas.microsoft.com/office/spreadsheetml/2023/msForms" uri="{FCC71383-01E1-4257-9335-427F07BE8D7F}">
          <xlmsforms:question id="r158cfe503f674e0db7c547dc98237974"/>
        </ext>
      </extLst>
    </tableColumn>
    <tableColumn id="73" xr3:uid="{00000000-0010-0000-0000-000049000000}" name="¿Se presentó a su formador?" dataDxfId="22">
      <extLst>
        <ext xmlns:xlmsforms="http://schemas.microsoft.com/office/spreadsheetml/2023/msForms" uri="{FCC71383-01E1-4257-9335-427F07BE8D7F}">
          <xlmsforms:question id="r0dc25775c41e41b5adc751e7a79ef81d"/>
        </ext>
      </extLst>
    </tableColumn>
    <tableColumn id="74" xr3:uid="{00000000-0010-0000-0000-00004A000000}" name="Nombre del Formador" dataDxfId="21">
      <extLst>
        <ext xmlns:xlmsforms="http://schemas.microsoft.com/office/spreadsheetml/2023/msForms" uri="{FCC71383-01E1-4257-9335-427F07BE8D7F}">
          <xlmsforms:question id="r23eb1467f12c4771922e3d206cfdc116"/>
        </ext>
      </extLst>
    </tableColumn>
    <tableColumn id="75" xr3:uid="{00000000-0010-0000-0000-00004B000000}" name="Tiene cuenta de INET y su respectiva explicación." dataDxfId="20">
      <extLst>
        <ext xmlns:xlmsforms="http://schemas.microsoft.com/office/spreadsheetml/2023/msForms" uri="{FCC71383-01E1-4257-9335-427F07BE8D7F}">
          <xlmsforms:question id="rf7450589422f4f9cbeb82f4c6abe2aa5"/>
        </ext>
      </extLst>
    </tableColumn>
    <tableColumn id="76" xr3:uid="{00000000-0010-0000-0000-00004C000000}" name="Que tal le pareció su induccion" dataDxfId="19">
      <extLst>
        <ext xmlns:xlmsforms="http://schemas.microsoft.com/office/spreadsheetml/2023/msForms" uri="{FCC71383-01E1-4257-9335-427F07BE8D7F}">
          <xlmsforms:question id="rd4380ae67f9f4cf589c16e62058ad914"/>
        </ext>
      </extLst>
    </tableColumn>
    <tableColumn id="77" xr3:uid="{00000000-0010-0000-0000-00004D000000}" name="Comentarios sobre la inducción y/o adicionales " dataDxfId="18">
      <extLst>
        <ext xmlns:xlmsforms="http://schemas.microsoft.com/office/spreadsheetml/2023/msForms" uri="{FCC71383-01E1-4257-9335-427F07BE8D7F}">
          <xlmsforms:question id="ra27afad728ce4ee0949298ffbd7522a7"/>
        </ext>
      </extLst>
    </tableColumn>
    <tableColumn id="78" xr3:uid="{00000000-0010-0000-0000-00004E000000}" name="FECHA DEL SEGUNDO CONTACTO">
      <extLst>
        <ext xmlns:xlmsforms="http://schemas.microsoft.com/office/spreadsheetml/2023/msForms" uri="{FCC71383-01E1-4257-9335-427F07BE8D7F}">
          <xlmsforms:question id="r18361a2ffa0f403289225d1c5eddd1b5"/>
        </ext>
      </extLst>
    </tableColumn>
    <tableColumn id="79" xr3:uid="{00000000-0010-0000-0000-00004F000000}" name="ESCRIBE EL CÓDIGO DE COLABORADOR" dataDxfId="17">
      <extLst>
        <ext xmlns:xlmsforms="http://schemas.microsoft.com/office/spreadsheetml/2023/msForms" uri="{FCC71383-01E1-4257-9335-427F07BE8D7F}">
          <xlmsforms:question id="rddfba9420aec4fcaaea1fd0119eaad81"/>
        </ext>
      </extLst>
    </tableColumn>
    <tableColumn id="80" xr3:uid="{00000000-0010-0000-0000-000050000000}" name="NOMBRE COMPLETO" dataDxfId="16">
      <extLst>
        <ext xmlns:xlmsforms="http://schemas.microsoft.com/office/spreadsheetml/2023/msForms" uri="{FCC71383-01E1-4257-9335-427F07BE8D7F}">
          <xlmsforms:question id="redd51f7c9b44464c9286c5b725d71f9a"/>
        </ext>
      </extLst>
    </tableColumn>
    <tableColumn id="81" xr3:uid="{00000000-0010-0000-0000-000051000000}" name="CODIGO DE COLABORADOR" dataDxfId="15">
      <extLst>
        <ext xmlns:xlmsforms="http://schemas.microsoft.com/office/spreadsheetml/2023/msForms" uri="{FCC71383-01E1-4257-9335-427F07BE8D7F}">
          <xlmsforms:question id="r04a44e24793f4d5c916c33a9d77aedb2"/>
        </ext>
      </extLst>
    </tableColumn>
    <tableColumn id="82" xr3:uid="{00000000-0010-0000-0000-000052000000}" name="ENCARGADO DE LA TIENDA" dataDxfId="14">
      <extLst>
        <ext xmlns:xlmsforms="http://schemas.microsoft.com/office/spreadsheetml/2023/msForms" uri="{FCC71383-01E1-4257-9335-427F07BE8D7F}">
          <xlmsforms:question id="rb6304012f3f848dfb46e431d6ecc5af1"/>
        </ext>
      </extLst>
    </tableColumn>
    <tableColumn id="83" xr3:uid="{00000000-0010-0000-0000-000053000000}" name="FECHA DE INGRESO">
      <extLst>
        <ext xmlns:xlmsforms="http://schemas.microsoft.com/office/spreadsheetml/2023/msForms" uri="{FCC71383-01E1-4257-9335-427F07BE8D7F}">
          <xlmsforms:question id="rab978399c0cd43a1aa28b62a3f294e06"/>
        </ext>
      </extLst>
    </tableColumn>
    <tableColumn id="84" xr3:uid="{00000000-0010-0000-0000-000054000000}" name="DESEMPEÑO" dataDxfId="13">
      <extLst>
        <ext xmlns:xlmsforms="http://schemas.microsoft.com/office/spreadsheetml/2023/msForms" uri="{FCC71383-01E1-4257-9335-427F07BE8D7F}">
          <xlmsforms:question id="r8438def717ce4de2bad271e68d44e4b6"/>
        </ext>
      </extLst>
    </tableColumn>
    <tableColumn id="85" xr3:uid="{00000000-0010-0000-0000-000055000000}" name="CUMPLE CON LAS ASIGNACIONES DE SU PUESTO" dataDxfId="12">
      <extLst>
        <ext xmlns:xlmsforms="http://schemas.microsoft.com/office/spreadsheetml/2023/msForms" uri="{FCC71383-01E1-4257-9335-427F07BE8D7F}">
          <xlmsforms:question id="r43d0b0725e8c4d48af34c6095812f7d3"/>
        </ext>
      </extLst>
    </tableColumn>
    <tableColumn id="86" xr3:uid="{00000000-0010-0000-0000-000056000000}" name="JUSTICACIÓN" dataDxfId="11">
      <extLst>
        <ext xmlns:xlmsforms="http://schemas.microsoft.com/office/spreadsheetml/2023/msForms" uri="{FCC71383-01E1-4257-9335-427F07BE8D7F}">
          <xlmsforms:question id="r554e280cb2264691bd4d0efb696b9282"/>
        </ext>
      </extLst>
    </tableColumn>
    <tableColumn id="87" xr3:uid="{00000000-0010-0000-0000-000057000000}" name="FORMACIÓN" dataDxfId="10">
      <extLst>
        <ext xmlns:xlmsforms="http://schemas.microsoft.com/office/spreadsheetml/2023/msForms" uri="{FCC71383-01E1-4257-9335-427F07BE8D7F}">
          <xlmsforms:question id="r13b5bb9664b64e3881ab406e71d5a1e6"/>
        </ext>
      </extLst>
    </tableColumn>
    <tableColumn id="88" xr3:uid="{00000000-0010-0000-0000-000058000000}" name="COMENTARIOS" dataDxfId="9">
      <extLst>
        <ext xmlns:xlmsforms="http://schemas.microsoft.com/office/spreadsheetml/2023/msForms" uri="{FCC71383-01E1-4257-9335-427F07BE8D7F}">
          <xlmsforms:question id="r901251fdbc07445da274cf3fe95653e8"/>
        </ext>
      </extLst>
    </tableColumn>
    <tableColumn id="89" xr3:uid="{00000000-0010-0000-0000-000059000000}" name="FECHA ESTIMADA DE TERCER CONTACTO">
      <extLst>
        <ext xmlns:xlmsforms="http://schemas.microsoft.com/office/spreadsheetml/2023/msForms" uri="{FCC71383-01E1-4257-9335-427F07BE8D7F}">
          <xlmsforms:question id="r6678090d772a45f0b6093e082b827b48"/>
        </ext>
      </extLst>
    </tableColumn>
    <tableColumn id="90" xr3:uid="{00000000-0010-0000-0000-00005A000000}" name="CÓDIGO DE COLABORADOR1" dataDxfId="8">
      <extLst>
        <ext xmlns:xlmsforms="http://schemas.microsoft.com/office/spreadsheetml/2023/msForms" uri="{FCC71383-01E1-4257-9335-427F07BE8D7F}">
          <xlmsforms:question id="r0122617058194cdb871cbe48f99f6e57"/>
        </ext>
      </extLst>
    </tableColumn>
    <tableColumn id="91" xr3:uid="{00000000-0010-0000-0000-00005B000000}" name="CODIGO DE COLABORADOR1" dataDxfId="7">
      <extLst>
        <ext xmlns:xlmsforms="http://schemas.microsoft.com/office/spreadsheetml/2023/msForms" uri="{FCC71383-01E1-4257-9335-427F07BE8D7F}">
          <xlmsforms:question id="r56e0696176254c1a838fd631002cb22b"/>
        </ext>
      </extLst>
    </tableColumn>
    <tableColumn id="92" xr3:uid="{00000000-0010-0000-0000-00005C000000}" name="PUESTO" dataDxfId="6">
      <extLst>
        <ext xmlns:xlmsforms="http://schemas.microsoft.com/office/spreadsheetml/2023/msForms" uri="{FCC71383-01E1-4257-9335-427F07BE8D7F}">
          <xlmsforms:question id="r90abd16203c446c3926bf017781b5bd6"/>
        </ext>
      </extLst>
    </tableColumn>
    <tableColumn id="93" xr3:uid="{00000000-0010-0000-0000-00005D000000}" name="¿Tu encargado te ha guiado adecuadamente?" dataDxfId="5">
      <extLst>
        <ext xmlns:xlmsforms="http://schemas.microsoft.com/office/spreadsheetml/2023/msForms" uri="{FCC71383-01E1-4257-9335-427F07BE8D7F}">
          <xlmsforms:question id="r0880f7637ad84c39a7a83bef97cd3385"/>
        </ext>
      </extLst>
    </tableColumn>
    <tableColumn id="94" xr3:uid="{00000000-0010-0000-0000-00005E000000}" name="¿Te sientes integrado/a al equipo?" dataDxfId="4">
      <extLst>
        <ext xmlns:xlmsforms="http://schemas.microsoft.com/office/spreadsheetml/2023/msForms" uri="{FCC71383-01E1-4257-9335-427F07BE8D7F}">
          <xlmsforms:question id="r207e8789175f4d77990352a83e407602"/>
        </ext>
      </extLst>
    </tableColumn>
    <tableColumn id="95" xr3:uid="{00000000-0010-0000-0000-00005F000000}" name="¿Recomendarías trabajar aquí?" dataDxfId="3">
      <extLst>
        <ext xmlns:xlmsforms="http://schemas.microsoft.com/office/spreadsheetml/2023/msForms" uri="{FCC71383-01E1-4257-9335-427F07BE8D7F}">
          <xlmsforms:question id="r01a8476107074ba8ac18a72e75a87eda"/>
        </ext>
      </extLst>
    </tableColumn>
    <tableColumn id="96" xr3:uid="{00000000-0010-0000-0000-000060000000}" name="Comentarios1" dataDxfId="2">
      <extLst>
        <ext xmlns:xlmsforms="http://schemas.microsoft.com/office/spreadsheetml/2023/msForms" uri="{FCC71383-01E1-4257-9335-427F07BE8D7F}">
          <xlmsforms:question id="r87416fb612814c2dac65e0b46d6587b0"/>
        </ext>
      </extLst>
    </tableColumn>
    <tableColumn id="97" xr3:uid="{00000000-0010-0000-0000-000061000000}" name="MOTIVO DE LA BAJA" dataDxfId="1">
      <extLst>
        <ext xmlns:xlmsforms="http://schemas.microsoft.com/office/spreadsheetml/2023/msForms" uri="{FCC71383-01E1-4257-9335-427F07BE8D7F}">
          <xlmsforms:question id="r4efad8a088be40bb9b7ad1d229e611ff"/>
        </ext>
      </extLst>
    </tableColumn>
    <tableColumn id="98" xr3:uid="{00000000-0010-0000-0000-000062000000}" name="Fecha de finalización de contrato">
      <extLst>
        <ext xmlns:xlmsforms="http://schemas.microsoft.com/office/spreadsheetml/2023/msForms" uri="{FCC71383-01E1-4257-9335-427F07BE8D7F}">
          <xlmsforms:question id="rb4ed48c3f5184bf98501d0836160c7e3"/>
        </ext>
      </extLst>
    </tableColumn>
    <tableColumn id="99" xr3:uid="{00000000-0010-0000-0000-000063000000}" name="Comentarios adicionales" dataDxfId="0">
      <extLst>
        <ext xmlns:xlmsforms="http://schemas.microsoft.com/office/spreadsheetml/2023/msForms" uri="{FCC71383-01E1-4257-9335-427F07BE8D7F}">
          <xlmsforms:question id="rd21882ffc3b2484dad4f03aed72ca37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aVsCadE9UKer44y_5U0EC4I5SJyuSdAgPdGYljjLRdUQ0VGODhYNkFOWVNQRVZFRVZMTlRCVFhWRS4u" isFormConnected="1" maxResponseId="10" latestEventMarker="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r80f43fff48f740dabc98342e09724866</xlmsforms:syncedQuestionId>
        <xlmsforms:syncedQuestionId>rdee48351faeb458394158be17fcae3da</xlmsforms:syncedQuestionId>
        <xlmsforms:syncedQuestionId>r139a20366b714c169bda25e8d2c14575</xlmsforms:syncedQuestionId>
        <xlmsforms:syncedQuestionId>r4952e8afc271495db3d0d36c2a7e9d16</xlmsforms:syncedQuestionId>
        <xlmsforms:syncedQuestionId>r116ffedfe49844eca59261c8f22e71f6</xlmsforms:syncedQuestionId>
        <xlmsforms:syncedQuestionId>rd477c183b0a54ecdbd0b30d4f7d0141e</xlmsforms:syncedQuestionId>
        <xlmsforms:syncedQuestionId>r8abbed811a6c4e46b18aa20e09cfc21a</xlmsforms:syncedQuestionId>
        <xlmsforms:syncedQuestionId>rebf3a893e94a46ff883cc04f95af1e6f</xlmsforms:syncedQuestionId>
        <xlmsforms:syncedQuestionId>r7848f9f027884ecd8c3405a028f2753f</xlmsforms:syncedQuestionId>
        <xlmsforms:syncedQuestionId>r24541ffda33944859b2f93538c9103cf</xlmsforms:syncedQuestionId>
        <xlmsforms:syncedQuestionId>r1fb75ad492064ecb8f70893773180096</xlmsforms:syncedQuestionId>
        <xlmsforms:syncedQuestionId>rbb0fee039c364517a21310452e3f754d</xlmsforms:syncedQuestionId>
        <xlmsforms:syncedQuestionId>rc12f4f6fd49842b39ba0f0aaf094de39</xlmsforms:syncedQuestionId>
        <xlmsforms:syncedQuestionId>r589dd56ecc7a4d8c820031ab70e955b2</xlmsforms:syncedQuestionId>
        <xlmsforms:syncedQuestionId>r9c4278486913486eb4f171b20b8e5b2b</xlmsforms:syncedQuestionId>
        <xlmsforms:syncedQuestionId>re9f1d4f7e0984d5dadebd581326272e2</xlmsforms:syncedQuestionId>
        <xlmsforms:syncedQuestionId>r6cde77665a3b459f86dbb7a9069fd683</xlmsforms:syncedQuestionId>
        <xlmsforms:syncedQuestionId>rdba0337cd07146bd86400e62c9dac30c</xlmsforms:syncedQuestionId>
        <xlmsforms:syncedQuestionId>r9b206254572b4c0c81f72ab0b4cc0549</xlmsforms:syncedQuestionId>
        <xlmsforms:syncedQuestionId>r3b845de95e9a491cad304251a6bccd79</xlmsforms:syncedQuestionId>
        <xlmsforms:syncedQuestionId>rb5600976307c4acd89475663979781e5</xlmsforms:syncedQuestionId>
        <xlmsforms:syncedQuestionId>re13c979caccb4d27ac096bf099c52efc</xlmsforms:syncedQuestionId>
        <xlmsforms:syncedQuestionId>rab65e490a02d473c8563a7a852e65263</xlmsforms:syncedQuestionId>
        <xlmsforms:syncedQuestionId>ra74c4a8ed8e44c31b5ca457e38e479ec</xlmsforms:syncedQuestionId>
        <xlmsforms:syncedQuestionId>r91b5b2990e1e482caaad5ed16a292996</xlmsforms:syncedQuestionId>
        <xlmsforms:syncedQuestionId>r35525a7a55f845809f9d91f53a4f3cbe</xlmsforms:syncedQuestionId>
        <xlmsforms:syncedQuestionId>rf2f164bc12054faba3468a399838f513</xlmsforms:syncedQuestionId>
        <xlmsforms:syncedQuestionId>r12f55e857004481b80a95597653a904a</xlmsforms:syncedQuestionId>
        <xlmsforms:syncedQuestionId>r03b15dbe894b431ea1eca142c00a8eee</xlmsforms:syncedQuestionId>
        <xlmsforms:syncedQuestionId>rf7dd1ec45f7f4e28aecf354ebe04f5b4</xlmsforms:syncedQuestionId>
        <xlmsforms:syncedQuestionId>rc3625dbdfae7420eb21221d346b32b69</xlmsforms:syncedQuestionId>
        <xlmsforms:syncedQuestionId>r1668f4f90fff430e94da4072191d5f6a</xlmsforms:syncedQuestionId>
        <xlmsforms:syncedQuestionId>rca4c781eaa8648a3a4751e70c190de80</xlmsforms:syncedQuestionId>
        <xlmsforms:syncedQuestionId>r28bc90f86e6742128dcf6ca2c7426f17</xlmsforms:syncedQuestionId>
        <xlmsforms:syncedQuestionId>rb21d7ed6f69341c09c6e43990eb6034a</xlmsforms:syncedQuestionId>
        <xlmsforms:syncedQuestionId>r88e60652c0cc49da8723a0aec50a8daf</xlmsforms:syncedQuestionId>
        <xlmsforms:syncedQuestionId>r753f567f3aad49729bb944363607ca08</xlmsforms:syncedQuestionId>
        <xlmsforms:syncedQuestionId>r54b826395e95480ebd5c96a1e8fe9cdb</xlmsforms:syncedQuestionId>
        <xlmsforms:syncedQuestionId>re7426fb73d1947339189846da1fecf62</xlmsforms:syncedQuestionId>
        <xlmsforms:syncedQuestionId>r4ab470b86d514318a076e4e06d89f13d</xlmsforms:syncedQuestionId>
        <xlmsforms:syncedQuestionId>rf6d7bf90bea84c1db0803f111b4b22f2</xlmsforms:syncedQuestionId>
        <xlmsforms:syncedQuestionId>r121c39f58d9a4e448b475324fc5786e9</xlmsforms:syncedQuestionId>
        <xlmsforms:syncedQuestionId>r98c4a4bda94347feb805b917290b4102</xlmsforms:syncedQuestionId>
        <xlmsforms:syncedQuestionId>rff05564b8f904049999d95a0c45f8a54</xlmsforms:syncedQuestionId>
        <xlmsforms:syncedQuestionId>r61b6168f2f7c4b3db865a268be398730</xlmsforms:syncedQuestionId>
        <xlmsforms:syncedQuestionId>r800aa7332a4544eebd3133c072df28c8</xlmsforms:syncedQuestionId>
        <xlmsforms:syncedQuestionId>re41bb185cd29483fa37b183759a132c2</xlmsforms:syncedQuestionId>
        <xlmsforms:syncedQuestionId>r43e390764230402fadea1ae29c1ccd18</xlmsforms:syncedQuestionId>
        <xlmsforms:syncedQuestionId>r52fac988b54a4ef694bf6f7113711f8f</xlmsforms:syncedQuestionId>
        <xlmsforms:syncedQuestionId>r242790ac972449e99630458e736251a7</xlmsforms:syncedQuestionId>
        <xlmsforms:syncedQuestionId>rcd36de4178d945b098e8c59bb418640c</xlmsforms:syncedQuestionId>
        <xlmsforms:syncedQuestionId>re6b5805077984c11ab96310434698f89</xlmsforms:syncedQuestionId>
        <xlmsforms:syncedQuestionId>r278d988c7a944d628d8f4a542d720a23</xlmsforms:syncedQuestionId>
        <xlmsforms:syncedQuestionId>r750729ceb25641c8b1794c83e830e443</xlmsforms:syncedQuestionId>
        <xlmsforms:syncedQuestionId>r08827906de174131838b50089b99a8c9</xlmsforms:syncedQuestionId>
        <xlmsforms:syncedQuestionId>rfb2706136c2d47b7bafc5ca2b6550c59</xlmsforms:syncedQuestionId>
        <xlmsforms:syncedQuestionId>r581ff027b04c4fdc8aade7cb422c3fb2</xlmsforms:syncedQuestionId>
        <xlmsforms:syncedQuestionId>r45b7b9fbe59941eb8e2f2f35f68466cd</xlmsforms:syncedQuestionId>
        <xlmsforms:syncedQuestionId>ra21e033154074b86818ced9259e1fd9f</xlmsforms:syncedQuestionId>
        <xlmsforms:syncedQuestionId>r9e346a11b5f5472e838bec66786826c6</xlmsforms:syncedQuestionId>
        <xlmsforms:syncedQuestionId>r7747c423ffb94118b60c546defb5ec72</xlmsforms:syncedQuestionId>
        <xlmsforms:syncedQuestionId>rf19d998edda34962a01d57096152965e</xlmsforms:syncedQuestionId>
        <xlmsforms:syncedQuestionId>rcbc5e4487295443b9ae9105379f30ed5</xlmsforms:syncedQuestionId>
        <xlmsforms:syncedQuestionId>r1bce4f97db4b474b939e881ea443be06</xlmsforms:syncedQuestionId>
        <xlmsforms:syncedQuestionId>r5561c68d6fbc4aeb876320af436fda49</xlmsforms:syncedQuestionId>
        <xlmsforms:syncedQuestionId>r0f3e4e3d9836414dba4dcb83ef0edd77</xlmsforms:syncedQuestionId>
        <xlmsforms:syncedQuestionId>r158cfe503f674e0db7c547dc98237974</xlmsforms:syncedQuestionId>
        <xlmsforms:syncedQuestionId>r0dc25775c41e41b5adc751e7a79ef81d</xlmsforms:syncedQuestionId>
        <xlmsforms:syncedQuestionId>r23eb1467f12c4771922e3d206cfdc116</xlmsforms:syncedQuestionId>
        <xlmsforms:syncedQuestionId>rf7450589422f4f9cbeb82f4c6abe2aa5</xlmsforms:syncedQuestionId>
        <xlmsforms:syncedQuestionId>rd4380ae67f9f4cf589c16e62058ad914</xlmsforms:syncedQuestionId>
        <xlmsforms:syncedQuestionId>ra27afad728ce4ee0949298ffbd7522a7</xlmsforms:syncedQuestionId>
        <xlmsforms:syncedQuestionId>r18361a2ffa0f403289225d1c5eddd1b5</xlmsforms:syncedQuestionId>
        <xlmsforms:syncedQuestionId>rddfba9420aec4fcaaea1fd0119eaad81</xlmsforms:syncedQuestionId>
        <xlmsforms:syncedQuestionId>redd51f7c9b44464c9286c5b725d71f9a</xlmsforms:syncedQuestionId>
        <xlmsforms:syncedQuestionId>r04a44e24793f4d5c916c33a9d77aedb2</xlmsforms:syncedQuestionId>
        <xlmsforms:syncedQuestionId>rb6304012f3f848dfb46e431d6ecc5af1</xlmsforms:syncedQuestionId>
        <xlmsforms:syncedQuestionId>rab978399c0cd43a1aa28b62a3f294e06</xlmsforms:syncedQuestionId>
        <xlmsforms:syncedQuestionId>r8438def717ce4de2bad271e68d44e4b6</xlmsforms:syncedQuestionId>
        <xlmsforms:syncedQuestionId>r43d0b0725e8c4d48af34c6095812f7d3</xlmsforms:syncedQuestionId>
        <xlmsforms:syncedQuestionId>r554e280cb2264691bd4d0efb696b9282</xlmsforms:syncedQuestionId>
        <xlmsforms:syncedQuestionId>r13b5bb9664b64e3881ab406e71d5a1e6</xlmsforms:syncedQuestionId>
        <xlmsforms:syncedQuestionId>r901251fdbc07445da274cf3fe95653e8</xlmsforms:syncedQuestionId>
        <xlmsforms:syncedQuestionId>r6678090d772a45f0b6093e082b827b48</xlmsforms:syncedQuestionId>
        <xlmsforms:syncedQuestionId>r0122617058194cdb871cbe48f99f6e57</xlmsforms:syncedQuestionId>
        <xlmsforms:syncedQuestionId>r56e0696176254c1a838fd631002cb22b</xlmsforms:syncedQuestionId>
        <xlmsforms:syncedQuestionId>r90abd16203c446c3926bf017781b5bd6</xlmsforms:syncedQuestionId>
        <xlmsforms:syncedQuestionId>r0880f7637ad84c39a7a83bef97cd3385</xlmsforms:syncedQuestionId>
        <xlmsforms:syncedQuestionId>r207e8789175f4d77990352a83e407602</xlmsforms:syncedQuestionId>
        <xlmsforms:syncedQuestionId>r01a8476107074ba8ac18a72e75a87eda</xlmsforms:syncedQuestionId>
        <xlmsforms:syncedQuestionId>r87416fb612814c2dac65e0b46d6587b0</xlmsforms:syncedQuestionId>
        <xlmsforms:syncedQuestionId>r4efad8a088be40bb9b7ad1d229e611ff</xlmsforms:syncedQuestionId>
        <xlmsforms:syncedQuestionId>rb4ed48c3f5184bf98501d0836160c7e3</xlmsforms:syncedQuestionId>
        <xlmsforms:syncedQuestionId>rd21882ffc3b2484dad4f03aed72ca37e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F4E0-78DA-4210-9827-77DA89B44629}">
  <dimension ref="A3:A47"/>
  <sheetViews>
    <sheetView workbookViewId="0">
      <selection activeCell="A16" sqref="A16"/>
    </sheetView>
  </sheetViews>
  <sheetFormatPr defaultRowHeight="15"/>
  <cols>
    <col min="1" max="1" width="34.140625" bestFit="1" customWidth="1"/>
    <col min="2" max="2" width="9.28515625" bestFit="1" customWidth="1"/>
  </cols>
  <sheetData>
    <row r="3" spans="1:1">
      <c r="A3" s="6" t="s">
        <v>0</v>
      </c>
    </row>
    <row r="4" spans="1:1">
      <c r="A4" s="7" t="s">
        <v>1</v>
      </c>
    </row>
    <row r="5" spans="1:1">
      <c r="A5" s="8" t="s">
        <v>2</v>
      </c>
    </row>
    <row r="6" spans="1:1">
      <c r="A6" s="9" t="s">
        <v>2</v>
      </c>
    </row>
    <row r="7" spans="1:1">
      <c r="A7" s="10" t="s">
        <v>2</v>
      </c>
    </row>
    <row r="8" spans="1:1">
      <c r="A8" s="11" t="s">
        <v>2</v>
      </c>
    </row>
    <row r="9" spans="1:1">
      <c r="A9" s="12" t="s">
        <v>3</v>
      </c>
    </row>
    <row r="10" spans="1:1">
      <c r="A10" s="12" t="s">
        <v>4</v>
      </c>
    </row>
    <row r="11" spans="1:1">
      <c r="A11" s="7" t="s">
        <v>5</v>
      </c>
    </row>
    <row r="12" spans="1:1">
      <c r="A12" s="8" t="s">
        <v>2</v>
      </c>
    </row>
    <row r="13" spans="1:1">
      <c r="A13" s="9" t="s">
        <v>6</v>
      </c>
    </row>
    <row r="14" spans="1:1">
      <c r="A14" s="10" t="s">
        <v>2</v>
      </c>
    </row>
    <row r="15" spans="1:1">
      <c r="A15" s="11" t="s">
        <v>2</v>
      </c>
    </row>
    <row r="16" spans="1:1">
      <c r="A16" s="12" t="s">
        <v>2</v>
      </c>
    </row>
    <row r="17" spans="1:1">
      <c r="A17" s="9" t="s">
        <v>7</v>
      </c>
    </row>
    <row r="18" spans="1:1">
      <c r="A18" s="10" t="s">
        <v>2</v>
      </c>
    </row>
    <row r="19" spans="1:1">
      <c r="A19" s="11" t="s">
        <v>2</v>
      </c>
    </row>
    <row r="20" spans="1:1">
      <c r="A20" s="12" t="s">
        <v>2</v>
      </c>
    </row>
    <row r="21" spans="1:1">
      <c r="A21" s="7" t="s">
        <v>8</v>
      </c>
    </row>
    <row r="22" spans="1:1">
      <c r="A22" s="8" t="s">
        <v>2</v>
      </c>
    </row>
    <row r="23" spans="1:1">
      <c r="A23" s="9" t="s">
        <v>2</v>
      </c>
    </row>
    <row r="24" spans="1:1">
      <c r="A24" s="10" t="s">
        <v>9</v>
      </c>
    </row>
    <row r="25" spans="1:1">
      <c r="A25" s="11" t="s">
        <v>2</v>
      </c>
    </row>
    <row r="26" spans="1:1">
      <c r="A26" s="12" t="s">
        <v>2</v>
      </c>
    </row>
    <row r="27" spans="1:1">
      <c r="A27" s="10" t="s">
        <v>10</v>
      </c>
    </row>
    <row r="28" spans="1:1">
      <c r="A28" s="11" t="s">
        <v>2</v>
      </c>
    </row>
    <row r="29" spans="1:1">
      <c r="A29" s="12" t="s">
        <v>2</v>
      </c>
    </row>
    <row r="30" spans="1:1">
      <c r="A30" s="7" t="s">
        <v>11</v>
      </c>
    </row>
    <row r="31" spans="1:1">
      <c r="A31" s="8" t="s">
        <v>12</v>
      </c>
    </row>
    <row r="32" spans="1:1">
      <c r="A32" s="9" t="s">
        <v>2</v>
      </c>
    </row>
    <row r="33" spans="1:1">
      <c r="A33" s="10" t="s">
        <v>2</v>
      </c>
    </row>
    <row r="34" spans="1:1">
      <c r="A34" s="11" t="s">
        <v>2</v>
      </c>
    </row>
    <row r="35" spans="1:1">
      <c r="A35" s="12" t="s">
        <v>2</v>
      </c>
    </row>
    <row r="36" spans="1:1">
      <c r="A36" s="8" t="s">
        <v>13</v>
      </c>
    </row>
    <row r="37" spans="1:1">
      <c r="A37" s="9" t="s">
        <v>2</v>
      </c>
    </row>
    <row r="38" spans="1:1">
      <c r="A38" s="10" t="s">
        <v>2</v>
      </c>
    </row>
    <row r="39" spans="1:1">
      <c r="A39" s="11" t="s">
        <v>2</v>
      </c>
    </row>
    <row r="40" spans="1:1">
      <c r="A40" s="12" t="s">
        <v>2</v>
      </c>
    </row>
    <row r="41" spans="1:1">
      <c r="A41" s="7" t="s">
        <v>2</v>
      </c>
    </row>
    <row r="42" spans="1:1">
      <c r="A42" s="8" t="s">
        <v>2</v>
      </c>
    </row>
    <row r="43" spans="1:1">
      <c r="A43" s="9" t="s">
        <v>2</v>
      </c>
    </row>
    <row r="44" spans="1:1">
      <c r="A44" s="10" t="s">
        <v>2</v>
      </c>
    </row>
    <row r="45" spans="1:1">
      <c r="A45" s="11" t="s">
        <v>2</v>
      </c>
    </row>
    <row r="46" spans="1:1">
      <c r="A46" s="12" t="s">
        <v>2</v>
      </c>
    </row>
    <row r="47" spans="1:1">
      <c r="A47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421C-73CE-4184-A775-E513A1B22F9A}">
  <dimension ref="A1:G10"/>
  <sheetViews>
    <sheetView workbookViewId="0">
      <selection activeCell="C8" sqref="C8"/>
    </sheetView>
  </sheetViews>
  <sheetFormatPr defaultRowHeight="15"/>
  <cols>
    <col min="1" max="1" width="30" bestFit="1" customWidth="1"/>
    <col min="2" max="2" width="16.28515625" bestFit="1" customWidth="1"/>
    <col min="3" max="3" width="39.7109375" bestFit="1" customWidth="1"/>
    <col min="4" max="4" width="35" bestFit="1" customWidth="1"/>
    <col min="5" max="5" width="14.28515625" bestFit="1" customWidth="1"/>
    <col min="6" max="6" width="44.7109375" bestFit="1" customWidth="1"/>
    <col min="7" max="7" width="40" bestFit="1" customWidth="1"/>
  </cols>
  <sheetData>
    <row r="1" spans="1:7">
      <c r="A1" s="6" t="s">
        <v>15</v>
      </c>
      <c r="B1" t="s">
        <v>11</v>
      </c>
    </row>
    <row r="3" spans="1:7">
      <c r="B3" s="6" t="s">
        <v>16</v>
      </c>
    </row>
    <row r="4" spans="1:7">
      <c r="B4" t="s">
        <v>17</v>
      </c>
      <c r="E4" t="s">
        <v>18</v>
      </c>
      <c r="F4" t="s">
        <v>19</v>
      </c>
      <c r="G4" t="s">
        <v>20</v>
      </c>
    </row>
    <row r="5" spans="1:7">
      <c r="A5" s="6" t="s">
        <v>0</v>
      </c>
      <c r="B5" t="s">
        <v>21</v>
      </c>
      <c r="C5" t="s">
        <v>22</v>
      </c>
      <c r="D5" t="s">
        <v>23</v>
      </c>
    </row>
    <row r="6" spans="1:7">
      <c r="A6" s="7" t="s">
        <v>12</v>
      </c>
      <c r="B6">
        <v>3</v>
      </c>
      <c r="C6">
        <v>1</v>
      </c>
      <c r="D6">
        <v>1</v>
      </c>
      <c r="E6">
        <v>3</v>
      </c>
      <c r="F6">
        <v>1</v>
      </c>
      <c r="G6">
        <v>1</v>
      </c>
    </row>
    <row r="7" spans="1:7">
      <c r="A7" s="8" t="s">
        <v>24</v>
      </c>
      <c r="B7">
        <v>3</v>
      </c>
      <c r="C7">
        <v>1</v>
      </c>
      <c r="D7">
        <v>1</v>
      </c>
      <c r="E7">
        <v>3</v>
      </c>
      <c r="F7">
        <v>1</v>
      </c>
      <c r="G7">
        <v>1</v>
      </c>
    </row>
    <row r="8" spans="1:7">
      <c r="A8" s="7" t="s">
        <v>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>
      <c r="A9" s="8" t="s">
        <v>24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>
      <c r="A10" s="7" t="s">
        <v>14</v>
      </c>
      <c r="B10">
        <v>4</v>
      </c>
      <c r="C10">
        <v>2</v>
      </c>
      <c r="D10">
        <v>2</v>
      </c>
      <c r="E10">
        <v>4</v>
      </c>
      <c r="F10">
        <v>2</v>
      </c>
      <c r="G1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4"/>
  <sheetViews>
    <sheetView workbookViewId="0">
      <selection activeCell="F19" sqref="F19"/>
    </sheetView>
  </sheetViews>
  <sheetFormatPr defaultRowHeight="15"/>
  <cols>
    <col min="1" max="1" width="20" bestFit="1" customWidth="1"/>
    <col min="2" max="2" width="20" customWidth="1"/>
    <col min="3" max="100" width="20" bestFit="1" customWidth="1"/>
  </cols>
  <sheetData>
    <row r="1" spans="1:100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15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13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3</v>
      </c>
      <c r="BJ1" t="s">
        <v>83</v>
      </c>
      <c r="BK1" t="s">
        <v>84</v>
      </c>
      <c r="BL1" t="s">
        <v>85</v>
      </c>
      <c r="BM1" t="s">
        <v>86</v>
      </c>
      <c r="BN1" t="s">
        <v>4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96</v>
      </c>
      <c r="BY1" t="s">
        <v>97</v>
      </c>
      <c r="BZ1" t="s">
        <v>98</v>
      </c>
      <c r="CA1" t="s">
        <v>99</v>
      </c>
      <c r="CB1" t="s">
        <v>100</v>
      </c>
      <c r="CC1" t="s">
        <v>101</v>
      </c>
      <c r="CD1" t="s">
        <v>102</v>
      </c>
      <c r="CE1" t="s">
        <v>103</v>
      </c>
      <c r="CF1" t="s">
        <v>104</v>
      </c>
      <c r="CG1" t="s">
        <v>105</v>
      </c>
      <c r="CH1" t="s">
        <v>106</v>
      </c>
      <c r="CI1" t="s">
        <v>107</v>
      </c>
      <c r="CJ1" t="s">
        <v>108</v>
      </c>
      <c r="CK1" t="s">
        <v>109</v>
      </c>
      <c r="CL1" t="s">
        <v>110</v>
      </c>
      <c r="CM1" t="s">
        <v>111</v>
      </c>
      <c r="CN1" t="s">
        <v>112</v>
      </c>
      <c r="CO1" t="s">
        <v>113</v>
      </c>
      <c r="CP1" t="s">
        <v>114</v>
      </c>
      <c r="CQ1" t="s">
        <v>115</v>
      </c>
      <c r="CR1" t="s">
        <v>116</v>
      </c>
      <c r="CS1" t="s">
        <v>117</v>
      </c>
      <c r="CT1" t="s">
        <v>118</v>
      </c>
      <c r="CU1" t="s">
        <v>119</v>
      </c>
      <c r="CV1" t="s">
        <v>120</v>
      </c>
    </row>
    <row r="2" spans="1:100">
      <c r="A2">
        <v>1</v>
      </c>
      <c r="B2" t="str">
        <f>OfficeForms.Table[[#This Row],[SELECCIONA EL CONTACTO]]</f>
        <v>PRIMER CONTACTO</v>
      </c>
      <c r="C2" s="3">
        <v>46108.508483796293</v>
      </c>
      <c r="D2" s="3">
        <v>46108.509120370371</v>
      </c>
      <c r="E2" t="s">
        <v>121</v>
      </c>
      <c r="F2" t="s">
        <v>24</v>
      </c>
      <c r="I2" t="s">
        <v>11</v>
      </c>
      <c r="J2" t="s">
        <v>13</v>
      </c>
      <c r="U2" t="s">
        <v>122</v>
      </c>
      <c r="BR2" t="s">
        <v>123</v>
      </c>
      <c r="BS2" s="1" t="s">
        <v>124</v>
      </c>
      <c r="BT2" t="s">
        <v>17</v>
      </c>
      <c r="BU2" s="1" t="s">
        <v>125</v>
      </c>
      <c r="BV2" t="s">
        <v>126</v>
      </c>
      <c r="BW2" t="s">
        <v>127</v>
      </c>
      <c r="BX2" t="s">
        <v>128</v>
      </c>
      <c r="BY2" t="s">
        <v>129</v>
      </c>
      <c r="BZ2" t="s">
        <v>130</v>
      </c>
      <c r="CA2" s="2">
        <v>46169</v>
      </c>
      <c r="CF2" s="2"/>
      <c r="CL2" s="2"/>
      <c r="CU2" s="2"/>
    </row>
    <row r="3" spans="1:100">
      <c r="A3">
        <v>2</v>
      </c>
      <c r="B3" t="str">
        <f>OfficeForms.Table[[#This Row],[SELECCIONA EL CONTACTO]]</f>
        <v>PRIMER CONTACTO</v>
      </c>
      <c r="C3" s="3">
        <v>46111.424479166664</v>
      </c>
      <c r="D3" s="3">
        <v>46111.43240740741</v>
      </c>
      <c r="E3" t="s">
        <v>131</v>
      </c>
      <c r="F3" t="s">
        <v>132</v>
      </c>
      <c r="G3" t="s">
        <v>133</v>
      </c>
      <c r="H3" s="1">
        <v>1234</v>
      </c>
      <c r="I3" t="s">
        <v>8</v>
      </c>
      <c r="AN3" t="s">
        <v>9</v>
      </c>
      <c r="BR3" t="s">
        <v>123</v>
      </c>
      <c r="BS3" s="1" t="s">
        <v>134</v>
      </c>
      <c r="BT3" t="s">
        <v>126</v>
      </c>
      <c r="BU3" t="s">
        <v>135</v>
      </c>
      <c r="BV3" t="s">
        <v>126</v>
      </c>
      <c r="BW3" t="s">
        <v>136</v>
      </c>
      <c r="BX3" t="s">
        <v>137</v>
      </c>
      <c r="BY3" t="s">
        <v>138</v>
      </c>
      <c r="BZ3" t="s">
        <v>135</v>
      </c>
      <c r="CA3" s="2">
        <v>46155</v>
      </c>
      <c r="CF3" s="2"/>
      <c r="CL3" s="2"/>
      <c r="CU3" s="2"/>
    </row>
    <row r="4" spans="1:100">
      <c r="A4">
        <v>3</v>
      </c>
      <c r="B4" t="str">
        <f>OfficeForms.Table[[#This Row],[SELECCIONA EL CONTACTO]]</f>
        <v>PRIMER CONTACTO</v>
      </c>
      <c r="C4" s="3">
        <v>46111.623923611114</v>
      </c>
      <c r="D4" s="3">
        <v>46111.624780092592</v>
      </c>
      <c r="E4" t="s">
        <v>121</v>
      </c>
      <c r="F4" t="s">
        <v>24</v>
      </c>
      <c r="G4" t="s">
        <v>139</v>
      </c>
      <c r="H4" s="1">
        <v>3607801</v>
      </c>
      <c r="I4" t="s">
        <v>11</v>
      </c>
      <c r="J4" t="s">
        <v>12</v>
      </c>
      <c r="L4" t="s">
        <v>140</v>
      </c>
      <c r="BR4" t="s">
        <v>123</v>
      </c>
      <c r="BS4" s="1" t="s">
        <v>141</v>
      </c>
      <c r="BT4" t="s">
        <v>17</v>
      </c>
      <c r="BU4" t="s">
        <v>142</v>
      </c>
      <c r="BV4" t="s">
        <v>126</v>
      </c>
      <c r="BW4" t="s">
        <v>143</v>
      </c>
      <c r="BX4" t="s">
        <v>144</v>
      </c>
      <c r="BY4" t="s">
        <v>145</v>
      </c>
      <c r="BZ4" t="s">
        <v>146</v>
      </c>
      <c r="CA4" s="2">
        <v>46172</v>
      </c>
      <c r="CF4" s="2"/>
      <c r="CL4" s="2"/>
      <c r="CU4" s="2"/>
    </row>
    <row r="5" spans="1:100">
      <c r="A5">
        <v>4</v>
      </c>
      <c r="B5" t="str">
        <f>OfficeForms.Table[[#This Row],[SELECCIONA EL CONTACTO]]</f>
        <v>SEGUNDO CONTACTO</v>
      </c>
      <c r="C5" s="3">
        <v>46118.420428240701</v>
      </c>
      <c r="D5" s="3">
        <v>46118.4210648148</v>
      </c>
      <c r="E5" s="4" t="s">
        <v>121</v>
      </c>
      <c r="F5" s="4" t="s">
        <v>24</v>
      </c>
      <c r="G5" s="4" t="s">
        <v>147</v>
      </c>
      <c r="H5" s="1">
        <v>3607801</v>
      </c>
      <c r="I5" s="4" t="s">
        <v>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 t="s">
        <v>10</v>
      </c>
      <c r="AO5" s="4"/>
      <c r="AP5" s="4" t="s">
        <v>148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 t="s">
        <v>149</v>
      </c>
      <c r="BS5" s="5"/>
      <c r="BT5" s="4"/>
      <c r="BU5" s="4"/>
      <c r="BV5" s="4"/>
      <c r="BW5" s="4"/>
      <c r="BX5" s="4"/>
      <c r="BY5" s="4"/>
      <c r="BZ5" s="4"/>
      <c r="CA5" s="2"/>
      <c r="CB5" s="5" t="s">
        <v>150</v>
      </c>
      <c r="CC5" s="4" t="s">
        <v>151</v>
      </c>
      <c r="CD5" s="5" t="s">
        <v>152</v>
      </c>
      <c r="CE5" s="4" t="s">
        <v>153</v>
      </c>
      <c r="CF5" s="2">
        <v>46113</v>
      </c>
      <c r="CG5">
        <v>7</v>
      </c>
      <c r="CH5">
        <v>7</v>
      </c>
      <c r="CI5" s="4" t="s">
        <v>154</v>
      </c>
      <c r="CJ5">
        <v>7</v>
      </c>
      <c r="CK5" s="4" t="s">
        <v>155</v>
      </c>
      <c r="CL5" s="2">
        <v>46181</v>
      </c>
      <c r="CM5" s="4"/>
      <c r="CN5" s="4"/>
      <c r="CO5" s="4"/>
      <c r="CP5" s="4"/>
      <c r="CQ5" s="4"/>
      <c r="CS5" s="4"/>
      <c r="CT5" s="4"/>
      <c r="CU5" s="2"/>
      <c r="CV5" s="4"/>
    </row>
    <row r="6" spans="1:100">
      <c r="A6">
        <v>5</v>
      </c>
      <c r="B6" t="str">
        <f>OfficeForms.Table[[#This Row],[SELECCIONA EL CONTACTO]]</f>
        <v>PRIMER CONTACTO</v>
      </c>
      <c r="C6" s="3">
        <v>46118.4547916667</v>
      </c>
      <c r="D6" s="3">
        <v>46118.462615740696</v>
      </c>
      <c r="E6" s="4" t="s">
        <v>156</v>
      </c>
      <c r="F6" s="4" t="s">
        <v>157</v>
      </c>
      <c r="G6" s="4" t="s">
        <v>158</v>
      </c>
      <c r="H6" s="1">
        <v>2142703</v>
      </c>
      <c r="I6" s="4" t="s">
        <v>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 t="s">
        <v>3</v>
      </c>
      <c r="BF6" s="4"/>
      <c r="BG6" s="4"/>
      <c r="BH6" s="4"/>
      <c r="BI6" s="4" t="s">
        <v>159</v>
      </c>
      <c r="BJ6" s="4"/>
      <c r="BK6" s="4"/>
      <c r="BL6" s="4"/>
      <c r="BM6" s="4"/>
      <c r="BN6" s="4"/>
      <c r="BO6" s="4"/>
      <c r="BP6" s="4"/>
      <c r="BQ6" s="4"/>
      <c r="BR6" s="4" t="s">
        <v>123</v>
      </c>
      <c r="BS6" s="5" t="s">
        <v>160</v>
      </c>
      <c r="BT6" s="4" t="s">
        <v>126</v>
      </c>
      <c r="BU6" s="4" t="s">
        <v>161</v>
      </c>
      <c r="BV6" s="4" t="s">
        <v>126</v>
      </c>
      <c r="BW6" s="4" t="s">
        <v>162</v>
      </c>
      <c r="BX6" s="4" t="s">
        <v>163</v>
      </c>
      <c r="BY6" s="4" t="s">
        <v>138</v>
      </c>
      <c r="BZ6" s="4"/>
      <c r="CA6" s="2"/>
      <c r="CB6" s="5"/>
      <c r="CC6" s="4"/>
      <c r="CD6" s="5"/>
      <c r="CE6" s="4"/>
      <c r="CF6" s="2"/>
      <c r="CI6" s="4"/>
      <c r="CK6" s="4"/>
      <c r="CL6" s="2"/>
      <c r="CM6" s="4"/>
      <c r="CN6" s="4"/>
      <c r="CO6" s="4"/>
      <c r="CP6" s="4"/>
      <c r="CQ6" s="4"/>
      <c r="CS6" s="4"/>
      <c r="CT6" s="4"/>
      <c r="CU6" s="2"/>
      <c r="CV6" s="4"/>
    </row>
    <row r="7" spans="1:100">
      <c r="A7">
        <v>6</v>
      </c>
      <c r="B7" t="str">
        <f>OfficeForms.Table[[#This Row],[SELECCIONA EL CONTACTO]]</f>
        <v>PRIMER CONTACTO</v>
      </c>
      <c r="C7" s="3">
        <v>46118.463020833296</v>
      </c>
      <c r="D7" s="3">
        <v>46118.464861111097</v>
      </c>
      <c r="E7" s="4" t="s">
        <v>156</v>
      </c>
      <c r="F7" s="4" t="s">
        <v>157</v>
      </c>
      <c r="G7" s="4" t="s">
        <v>158</v>
      </c>
      <c r="H7" s="1">
        <v>2142703</v>
      </c>
      <c r="I7" s="4" t="s"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 t="s">
        <v>3</v>
      </c>
      <c r="BF7" s="4"/>
      <c r="BG7" s="4"/>
      <c r="BH7" s="4"/>
      <c r="BI7" s="4" t="s">
        <v>164</v>
      </c>
      <c r="BJ7" s="4"/>
      <c r="BK7" s="4"/>
      <c r="BL7" s="4"/>
      <c r="BM7" s="4"/>
      <c r="BN7" s="4"/>
      <c r="BO7" s="4"/>
      <c r="BP7" s="4"/>
      <c r="BQ7" s="4"/>
      <c r="BR7" s="4" t="s">
        <v>123</v>
      </c>
      <c r="BS7" s="5" t="s">
        <v>160</v>
      </c>
      <c r="BT7" s="4" t="s">
        <v>126</v>
      </c>
      <c r="BU7" s="4" t="s">
        <v>165</v>
      </c>
      <c r="BV7" s="4" t="s">
        <v>126</v>
      </c>
      <c r="BW7" s="4" t="s">
        <v>166</v>
      </c>
      <c r="BX7" s="4" t="s">
        <v>163</v>
      </c>
      <c r="BY7" s="4" t="s">
        <v>138</v>
      </c>
      <c r="BZ7" s="4"/>
      <c r="CA7" s="2"/>
      <c r="CB7" s="5"/>
      <c r="CC7" s="4"/>
      <c r="CD7" s="5"/>
      <c r="CE7" s="4"/>
      <c r="CF7" s="2"/>
      <c r="CI7" s="4"/>
      <c r="CK7" s="4"/>
      <c r="CL7" s="2"/>
      <c r="CM7" s="4"/>
      <c r="CN7" s="4"/>
      <c r="CO7" s="4"/>
      <c r="CP7" s="4"/>
      <c r="CQ7" s="4"/>
      <c r="CS7" s="4"/>
      <c r="CT7" s="4"/>
      <c r="CU7" s="2"/>
      <c r="CV7" s="4"/>
    </row>
    <row r="8" spans="1:100">
      <c r="B8" t="str">
        <f>OfficeForms.Table[[#This Row],[SELECCIONA EL CONTACTO]]</f>
        <v>PRIMER CONTACTO</v>
      </c>
      <c r="C8" s="3"/>
      <c r="D8" s="3"/>
      <c r="E8" s="4"/>
      <c r="F8" s="4"/>
      <c r="G8" s="4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 t="s">
        <v>123</v>
      </c>
      <c r="BS8" s="5"/>
      <c r="BT8" s="4"/>
      <c r="BU8" s="4"/>
      <c r="BV8" s="4"/>
      <c r="BW8" s="4"/>
      <c r="BX8" s="4"/>
      <c r="BY8" s="4"/>
      <c r="BZ8" s="4"/>
      <c r="CA8" s="2"/>
      <c r="CB8" s="5"/>
      <c r="CC8" s="4"/>
      <c r="CD8" s="5"/>
      <c r="CE8" s="4"/>
      <c r="CF8" s="2"/>
      <c r="CI8" s="4"/>
      <c r="CK8" s="4"/>
      <c r="CL8" s="2"/>
      <c r="CM8" s="4"/>
      <c r="CN8" s="4"/>
      <c r="CO8" s="4"/>
      <c r="CP8" s="4"/>
      <c r="CQ8" s="4"/>
      <c r="CS8" s="4"/>
      <c r="CT8" s="4"/>
      <c r="CU8" s="2"/>
      <c r="CV8" s="4"/>
    </row>
    <row r="9" spans="1:100">
      <c r="A9">
        <v>7</v>
      </c>
      <c r="B9" t="str">
        <f>OfficeForms.Table[[#This Row],[SELECCIONA EL CONTACTO]]</f>
        <v>PRIMER CONTACTO</v>
      </c>
      <c r="C9" s="3">
        <v>46118.693159722199</v>
      </c>
      <c r="D9" s="3">
        <v>46118.693553240701</v>
      </c>
      <c r="E9" s="4" t="s">
        <v>121</v>
      </c>
      <c r="F9" s="4" t="s">
        <v>24</v>
      </c>
      <c r="G9" s="4" t="s">
        <v>167</v>
      </c>
      <c r="H9" s="1">
        <v>3607801</v>
      </c>
      <c r="I9" s="4" t="s"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 t="s">
        <v>4</v>
      </c>
      <c r="BF9" s="4"/>
      <c r="BG9" s="4"/>
      <c r="BH9" s="4"/>
      <c r="BI9" s="4"/>
      <c r="BJ9" s="4"/>
      <c r="BK9" s="4"/>
      <c r="BL9" s="4"/>
      <c r="BM9" s="4"/>
      <c r="BN9" s="4" t="s">
        <v>168</v>
      </c>
      <c r="BO9" s="4"/>
      <c r="BP9" s="4"/>
      <c r="BQ9" s="4"/>
      <c r="BR9" s="4" t="s">
        <v>123</v>
      </c>
      <c r="BS9" s="5" t="s">
        <v>169</v>
      </c>
      <c r="BT9" s="4" t="s">
        <v>126</v>
      </c>
      <c r="BU9" s="5" t="s">
        <v>170</v>
      </c>
      <c r="BV9" s="4" t="s">
        <v>17</v>
      </c>
      <c r="BW9" s="4" t="s">
        <v>171</v>
      </c>
      <c r="BX9" s="4" t="s">
        <v>172</v>
      </c>
      <c r="BY9" s="4" t="s">
        <v>138</v>
      </c>
      <c r="BZ9" s="4" t="s">
        <v>173</v>
      </c>
      <c r="CA9" s="2">
        <v>46181</v>
      </c>
      <c r="CB9" s="5"/>
      <c r="CC9" s="4"/>
      <c r="CD9" s="5"/>
      <c r="CE9" s="4"/>
      <c r="CF9" s="2"/>
      <c r="CI9" s="4"/>
      <c r="CK9" s="4"/>
      <c r="CL9" s="2"/>
      <c r="CM9" s="4"/>
      <c r="CN9" s="4"/>
      <c r="CO9" s="4"/>
      <c r="CP9" s="4"/>
      <c r="CQ9" s="4"/>
      <c r="CS9" s="4"/>
      <c r="CT9" s="4"/>
      <c r="CU9" s="2"/>
      <c r="CV9" s="4"/>
    </row>
    <row r="10" spans="1:100">
      <c r="A10">
        <v>8</v>
      </c>
      <c r="B10" t="str">
        <f>OfficeForms.Table[[#This Row],[SELECCIONA EL CONTACTO]]</f>
        <v>TERCER CONTACTO</v>
      </c>
      <c r="C10" s="3">
        <v>46118.766759259299</v>
      </c>
      <c r="D10" s="3">
        <v>46118.767349537004</v>
      </c>
      <c r="E10" s="4" t="s">
        <v>121</v>
      </c>
      <c r="F10" s="4" t="s">
        <v>24</v>
      </c>
      <c r="G10" s="4" t="s">
        <v>174</v>
      </c>
      <c r="H10" s="1">
        <v>123456</v>
      </c>
      <c r="I10" s="4" t="s">
        <v>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 t="s">
        <v>6</v>
      </c>
      <c r="W10" s="4"/>
      <c r="X10" s="4"/>
      <c r="Y10" s="4"/>
      <c r="Z10" s="4"/>
      <c r="AA10" s="4" t="s">
        <v>175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 t="s">
        <v>176</v>
      </c>
      <c r="BS10" s="5"/>
      <c r="BT10" s="4"/>
      <c r="BU10" s="4"/>
      <c r="BV10" s="4"/>
      <c r="BW10" s="4"/>
      <c r="BX10" s="4"/>
      <c r="BY10" s="4"/>
      <c r="BZ10" s="4"/>
      <c r="CA10" s="2"/>
      <c r="CB10" s="5"/>
      <c r="CC10" s="4"/>
      <c r="CD10" s="5"/>
      <c r="CE10" s="4"/>
      <c r="CF10" s="2"/>
      <c r="CI10" s="4"/>
      <c r="CK10" s="4"/>
      <c r="CL10" s="2"/>
      <c r="CM10" s="4" t="s">
        <v>177</v>
      </c>
      <c r="CN10" s="4" t="s">
        <v>178</v>
      </c>
      <c r="CO10" s="4" t="s">
        <v>179</v>
      </c>
      <c r="CP10" s="4" t="s">
        <v>180</v>
      </c>
      <c r="CQ10" s="4" t="s">
        <v>180</v>
      </c>
      <c r="CR10">
        <v>1</v>
      </c>
      <c r="CS10" s="5" t="s">
        <v>181</v>
      </c>
      <c r="CT10" s="4"/>
      <c r="CU10" s="2"/>
      <c r="CV10" s="4"/>
    </row>
    <row r="11" spans="1:100">
      <c r="B11">
        <f>OfficeForms.Table[[#This Row],[SELECCIONA EL CONTACTO]]</f>
        <v>0</v>
      </c>
      <c r="C11" s="3"/>
      <c r="D11" s="3"/>
      <c r="E11" s="4"/>
      <c r="F11" s="4"/>
      <c r="G11" s="4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5"/>
      <c r="BT11" s="4"/>
      <c r="BU11" s="4"/>
      <c r="BV11" s="4"/>
      <c r="BW11" s="4"/>
      <c r="BX11" s="4"/>
      <c r="BY11" s="4"/>
      <c r="BZ11" s="4"/>
      <c r="CA11" s="2"/>
      <c r="CB11" s="5"/>
      <c r="CC11" s="4"/>
      <c r="CD11" s="5"/>
      <c r="CE11" s="4"/>
      <c r="CF11" s="2"/>
      <c r="CI11" s="4"/>
      <c r="CK11" s="4"/>
      <c r="CL11" s="2"/>
      <c r="CM11" s="4"/>
      <c r="CN11" s="4"/>
      <c r="CO11" s="4"/>
      <c r="CP11" s="4"/>
      <c r="CQ11" s="4"/>
      <c r="CS11" s="5"/>
      <c r="CT11" s="4"/>
      <c r="CU11" s="2"/>
      <c r="CV11" s="4"/>
    </row>
    <row r="12" spans="1:100">
      <c r="A12">
        <v>9</v>
      </c>
      <c r="B12" t="str">
        <f>OfficeForms.Table[[#This Row],[SELECCIONA EL CONTACTO]]</f>
        <v>SEGUNDO CONTACTO</v>
      </c>
      <c r="C12" s="3">
        <v>46119.597199074102</v>
      </c>
      <c r="D12" s="3">
        <v>46119.598148148099</v>
      </c>
      <c r="E12" s="4" t="s">
        <v>121</v>
      </c>
      <c r="F12" s="4" t="s">
        <v>24</v>
      </c>
      <c r="G12" s="4" t="s">
        <v>139</v>
      </c>
      <c r="H12" s="5" t="s">
        <v>182</v>
      </c>
      <c r="I12" s="4" t="s">
        <v>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 t="s">
        <v>7</v>
      </c>
      <c r="W12" s="4"/>
      <c r="X12" s="4" t="s">
        <v>183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 t="s">
        <v>149</v>
      </c>
      <c r="BS12" s="5"/>
      <c r="BT12" s="4"/>
      <c r="BU12" s="4"/>
      <c r="BV12" s="4"/>
      <c r="BW12" s="4"/>
      <c r="BX12" s="4"/>
      <c r="BY12" s="4"/>
      <c r="BZ12" s="4"/>
      <c r="CA12" s="2"/>
      <c r="CB12" s="5" t="s">
        <v>184</v>
      </c>
      <c r="CC12" s="4" t="s">
        <v>185</v>
      </c>
      <c r="CD12" s="5"/>
      <c r="CE12" s="4" t="s">
        <v>186</v>
      </c>
      <c r="CF12" s="2">
        <v>46119</v>
      </c>
      <c r="CG12">
        <v>8</v>
      </c>
      <c r="CH12">
        <v>8</v>
      </c>
      <c r="CI12" s="4" t="s">
        <v>187</v>
      </c>
      <c r="CJ12">
        <v>8</v>
      </c>
      <c r="CK12" s="4" t="s">
        <v>188</v>
      </c>
      <c r="CL12" s="2">
        <v>46189</v>
      </c>
      <c r="CM12" s="4"/>
      <c r="CN12" s="4"/>
      <c r="CO12" s="4"/>
      <c r="CP12" s="4"/>
      <c r="CQ12" s="4"/>
      <c r="CS12" s="5"/>
      <c r="CT12" s="4"/>
      <c r="CU12" s="2"/>
      <c r="CV12" s="4"/>
    </row>
    <row r="13" spans="1:100">
      <c r="B13">
        <f>OfficeForms.Table[[#This Row],[SELECCIONA EL CONTACTO]]</f>
        <v>0</v>
      </c>
      <c r="C13" s="3"/>
      <c r="D13" s="3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5"/>
      <c r="BT13" s="4"/>
      <c r="BU13" s="4"/>
      <c r="BV13" s="4"/>
      <c r="BW13" s="4"/>
      <c r="BX13" s="4"/>
      <c r="BY13" s="4"/>
      <c r="BZ13" s="4"/>
      <c r="CA13" s="2"/>
      <c r="CB13" s="5"/>
      <c r="CC13" s="4"/>
      <c r="CD13" s="5"/>
      <c r="CE13" s="4"/>
      <c r="CF13" s="2"/>
      <c r="CI13" s="4"/>
      <c r="CK13" s="4"/>
      <c r="CL13" s="2"/>
      <c r="CM13" s="4"/>
      <c r="CN13" s="4"/>
      <c r="CO13" s="4"/>
      <c r="CP13" s="4"/>
      <c r="CQ13" s="4"/>
      <c r="CS13" s="5"/>
      <c r="CT13" s="4"/>
      <c r="CU13" s="2"/>
      <c r="CV13" s="4"/>
    </row>
    <row r="14" spans="1:100">
      <c r="A14" s="15">
        <v>10</v>
      </c>
      <c r="B14" s="15" t="str">
        <f>OfficeForms.Table[[#This Row],[SELECCIONA EL CONTACTO]]</f>
        <v>SEGUNDO CONTACTO</v>
      </c>
      <c r="C14" s="3">
        <v>46119.928668981498</v>
      </c>
      <c r="D14" s="3">
        <v>46119.930335648103</v>
      </c>
      <c r="E14" s="4" t="s">
        <v>121</v>
      </c>
      <c r="F14" s="4" t="s">
        <v>24</v>
      </c>
      <c r="G14" s="4" t="s">
        <v>189</v>
      </c>
      <c r="H14" s="5" t="s">
        <v>190</v>
      </c>
      <c r="I14" s="4" t="s"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 t="s">
        <v>191</v>
      </c>
      <c r="BF14" s="4"/>
      <c r="BG14" s="4" t="s">
        <v>192</v>
      </c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 t="s">
        <v>149</v>
      </c>
      <c r="BS14" s="5"/>
      <c r="BT14" s="4"/>
      <c r="BU14" s="4"/>
      <c r="BV14" s="4"/>
      <c r="BW14" s="4"/>
      <c r="BX14" s="4"/>
      <c r="BY14" s="4"/>
      <c r="BZ14" s="4"/>
      <c r="CA14" s="2"/>
      <c r="CB14" s="5" t="s">
        <v>190</v>
      </c>
      <c r="CC14" s="4" t="s">
        <v>193</v>
      </c>
      <c r="CD14" s="5" t="s">
        <v>190</v>
      </c>
      <c r="CE14" s="4" t="s">
        <v>194</v>
      </c>
      <c r="CF14" s="2">
        <v>46113</v>
      </c>
      <c r="CG14" s="15">
        <v>9</v>
      </c>
      <c r="CH14" s="15">
        <v>7</v>
      </c>
      <c r="CI14" s="4" t="s">
        <v>195</v>
      </c>
      <c r="CJ14" s="15">
        <v>8</v>
      </c>
      <c r="CK14" s="4" t="s">
        <v>196</v>
      </c>
      <c r="CL14" s="2">
        <v>46181</v>
      </c>
      <c r="CM14" s="4"/>
      <c r="CN14" s="4"/>
      <c r="CO14" s="4"/>
      <c r="CP14" s="4"/>
      <c r="CQ14" s="4"/>
      <c r="CR14" s="15"/>
      <c r="CS14" s="5"/>
      <c r="CT14" s="4"/>
      <c r="CU14" s="2"/>
      <c r="CV14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18C9-EC0A-4003-8D0C-D24EB31B2E3C}">
  <dimension ref="A1:L1138"/>
  <sheetViews>
    <sheetView tabSelected="1" topLeftCell="I1" workbookViewId="0">
      <selection activeCell="D9" sqref="D9"/>
    </sheetView>
  </sheetViews>
  <sheetFormatPr defaultRowHeight="15"/>
  <cols>
    <col min="1" max="1" width="10.7109375" bestFit="1" customWidth="1"/>
    <col min="2" max="2" width="24.5703125" bestFit="1" customWidth="1"/>
    <col min="3" max="4" width="30.7109375" bestFit="1" customWidth="1"/>
    <col min="5" max="5" width="43.5703125" customWidth="1"/>
    <col min="6" max="6" width="30.7109375" bestFit="1" customWidth="1"/>
    <col min="7" max="7" width="45.5703125" customWidth="1"/>
    <col min="8" max="8" width="21" bestFit="1" customWidth="1"/>
    <col min="9" max="9" width="30.7109375" bestFit="1" customWidth="1"/>
    <col min="10" max="10" width="12" bestFit="1" customWidth="1"/>
    <col min="11" max="11" width="42" customWidth="1"/>
    <col min="12" max="12" width="14.140625" customWidth="1"/>
  </cols>
  <sheetData>
    <row r="1" spans="1:12" ht="15.75">
      <c r="A1" s="13" t="s">
        <v>197</v>
      </c>
      <c r="B1" s="13" t="s">
        <v>198</v>
      </c>
      <c r="C1" s="13" t="s">
        <v>199</v>
      </c>
      <c r="D1" s="13" t="s">
        <v>200</v>
      </c>
      <c r="E1" s="13" t="s">
        <v>201</v>
      </c>
      <c r="F1" s="13" t="s">
        <v>202</v>
      </c>
      <c r="G1" s="13" t="s">
        <v>203</v>
      </c>
      <c r="H1" s="13" t="s">
        <v>204</v>
      </c>
      <c r="I1" s="13" t="s">
        <v>113</v>
      </c>
      <c r="J1" s="13" t="s">
        <v>205</v>
      </c>
      <c r="K1" s="13" t="s">
        <v>206</v>
      </c>
      <c r="L1" s="13" t="s">
        <v>207</v>
      </c>
    </row>
    <row r="2" spans="1:12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80</v>
      </c>
      <c r="G2" t="s">
        <v>213</v>
      </c>
      <c r="H2">
        <v>2458303</v>
      </c>
      <c r="I2" t="s">
        <v>214</v>
      </c>
      <c r="J2" s="14">
        <v>46023</v>
      </c>
      <c r="K2" t="s">
        <v>215</v>
      </c>
      <c r="L2" t="e">
        <f>VLOOKUP(H2,Sheet1!H:H,2,0)</f>
        <v>#N/A</v>
      </c>
    </row>
    <row r="3" spans="1:12">
      <c r="A3" t="s">
        <v>208</v>
      </c>
      <c r="B3" t="s">
        <v>209</v>
      </c>
      <c r="C3" t="s">
        <v>210</v>
      </c>
      <c r="D3" t="s">
        <v>211</v>
      </c>
      <c r="E3" t="s">
        <v>212</v>
      </c>
      <c r="F3" t="s">
        <v>80</v>
      </c>
      <c r="G3" t="s">
        <v>216</v>
      </c>
      <c r="H3">
        <v>2463403</v>
      </c>
      <c r="I3" t="s">
        <v>214</v>
      </c>
      <c r="J3" s="14">
        <v>46023</v>
      </c>
      <c r="K3" t="s">
        <v>215</v>
      </c>
      <c r="L3" t="e">
        <f>VLOOKUP(H3,Sheet1!H:H,1,0)</f>
        <v>#N/A</v>
      </c>
    </row>
    <row r="4" spans="1:12">
      <c r="A4" t="s">
        <v>208</v>
      </c>
      <c r="B4" t="s">
        <v>209</v>
      </c>
      <c r="C4" t="s">
        <v>210</v>
      </c>
      <c r="D4" t="s">
        <v>211</v>
      </c>
      <c r="E4" t="s">
        <v>212</v>
      </c>
      <c r="F4" t="s">
        <v>80</v>
      </c>
      <c r="G4" t="s">
        <v>217</v>
      </c>
      <c r="H4">
        <v>2370903</v>
      </c>
      <c r="I4" t="s">
        <v>214</v>
      </c>
      <c r="J4" s="14">
        <v>45658</v>
      </c>
      <c r="K4" t="s">
        <v>215</v>
      </c>
      <c r="L4" t="e">
        <f>VLOOKUP(H4,Sheet1!H:H,1,0)</f>
        <v>#N/A</v>
      </c>
    </row>
    <row r="5" spans="1:12">
      <c r="A5" t="s">
        <v>208</v>
      </c>
      <c r="B5" t="s">
        <v>209</v>
      </c>
      <c r="C5" t="s">
        <v>210</v>
      </c>
      <c r="D5" t="s">
        <v>211</v>
      </c>
      <c r="E5" t="s">
        <v>212</v>
      </c>
      <c r="F5" t="s">
        <v>80</v>
      </c>
      <c r="G5" t="s">
        <v>218</v>
      </c>
      <c r="H5">
        <v>2364303</v>
      </c>
      <c r="I5" t="s">
        <v>214</v>
      </c>
      <c r="J5" s="14">
        <v>45658</v>
      </c>
      <c r="K5" t="s">
        <v>215</v>
      </c>
      <c r="L5" t="e">
        <f>VLOOKUP(H5,Sheet1!H:H,1,0)</f>
        <v>#N/A</v>
      </c>
    </row>
    <row r="6" spans="1:12">
      <c r="A6" t="s">
        <v>208</v>
      </c>
      <c r="B6" t="s">
        <v>209</v>
      </c>
      <c r="C6" t="s">
        <v>210</v>
      </c>
      <c r="D6" t="s">
        <v>211</v>
      </c>
      <c r="E6" t="s">
        <v>212</v>
      </c>
      <c r="F6" t="s">
        <v>80</v>
      </c>
      <c r="G6" t="s">
        <v>219</v>
      </c>
      <c r="H6">
        <v>2369203</v>
      </c>
      <c r="I6" t="s">
        <v>220</v>
      </c>
      <c r="J6" s="14">
        <v>45689</v>
      </c>
      <c r="K6" t="s">
        <v>215</v>
      </c>
      <c r="L6" t="e">
        <f>VLOOKUP(H6,Sheet1!H:H,1,0)</f>
        <v>#N/A</v>
      </c>
    </row>
    <row r="7" spans="1:12">
      <c r="A7" t="s">
        <v>208</v>
      </c>
      <c r="B7" t="s">
        <v>209</v>
      </c>
      <c r="C7" t="s">
        <v>210</v>
      </c>
      <c r="D7" t="s">
        <v>211</v>
      </c>
      <c r="E7" t="s">
        <v>212</v>
      </c>
      <c r="F7" t="s">
        <v>80</v>
      </c>
      <c r="G7" t="s">
        <v>221</v>
      </c>
      <c r="H7">
        <v>2194803</v>
      </c>
      <c r="I7" t="s">
        <v>222</v>
      </c>
      <c r="J7" s="14">
        <v>45005</v>
      </c>
      <c r="K7" t="s">
        <v>215</v>
      </c>
      <c r="L7" t="e">
        <f>VLOOKUP(H7,Sheet1!H:H,1,0)</f>
        <v>#N/A</v>
      </c>
    </row>
    <row r="8" spans="1:12">
      <c r="A8" t="s">
        <v>208</v>
      </c>
      <c r="B8" t="s">
        <v>209</v>
      </c>
      <c r="C8" t="s">
        <v>210</v>
      </c>
      <c r="D8" t="s">
        <v>211</v>
      </c>
      <c r="E8" t="s">
        <v>212</v>
      </c>
      <c r="F8" t="s">
        <v>80</v>
      </c>
      <c r="G8" t="s">
        <v>223</v>
      </c>
      <c r="H8">
        <v>2306303</v>
      </c>
      <c r="I8" t="s">
        <v>214</v>
      </c>
      <c r="J8" s="14">
        <v>45505</v>
      </c>
      <c r="K8" t="s">
        <v>215</v>
      </c>
      <c r="L8" t="e">
        <f>VLOOKUP(H8,Sheet1!H:H,1,0)</f>
        <v>#N/A</v>
      </c>
    </row>
    <row r="9" spans="1:12">
      <c r="A9" t="s">
        <v>208</v>
      </c>
      <c r="B9" t="s">
        <v>209</v>
      </c>
      <c r="C9" t="s">
        <v>210</v>
      </c>
      <c r="D9" t="s">
        <v>211</v>
      </c>
      <c r="E9" t="s">
        <v>224</v>
      </c>
      <c r="F9" t="s">
        <v>80</v>
      </c>
      <c r="G9" t="s">
        <v>215</v>
      </c>
      <c r="H9">
        <v>1718003</v>
      </c>
      <c r="I9" t="s">
        <v>225</v>
      </c>
      <c r="J9" s="14">
        <v>42814</v>
      </c>
      <c r="K9" t="s">
        <v>226</v>
      </c>
      <c r="L9" t="e">
        <f>VLOOKUP(H9,Sheet1!H:H,1,0)</f>
        <v>#N/A</v>
      </c>
    </row>
    <row r="10" spans="1:12">
      <c r="A10" t="s">
        <v>208</v>
      </c>
      <c r="B10" t="s">
        <v>209</v>
      </c>
      <c r="C10" t="s">
        <v>210</v>
      </c>
      <c r="D10" t="s">
        <v>211</v>
      </c>
      <c r="E10" t="s">
        <v>212</v>
      </c>
      <c r="F10" t="s">
        <v>80</v>
      </c>
      <c r="G10" t="s">
        <v>227</v>
      </c>
      <c r="H10">
        <v>2474303</v>
      </c>
      <c r="I10" t="s">
        <v>220</v>
      </c>
      <c r="J10" s="14">
        <v>46038</v>
      </c>
      <c r="K10" t="s">
        <v>215</v>
      </c>
      <c r="L10" t="e">
        <f>VLOOKUP(H10,Sheet1!H:H,1,0)</f>
        <v>#N/A</v>
      </c>
    </row>
    <row r="11" spans="1:12">
      <c r="A11" t="s">
        <v>208</v>
      </c>
      <c r="B11" t="s">
        <v>209</v>
      </c>
      <c r="C11" t="s">
        <v>210</v>
      </c>
      <c r="D11" t="s">
        <v>211</v>
      </c>
      <c r="E11" t="s">
        <v>212</v>
      </c>
      <c r="F11" t="s">
        <v>80</v>
      </c>
      <c r="G11" t="s">
        <v>228</v>
      </c>
      <c r="H11">
        <v>2444003</v>
      </c>
      <c r="I11" t="s">
        <v>220</v>
      </c>
      <c r="J11" s="14">
        <v>46023</v>
      </c>
      <c r="K11" t="s">
        <v>215</v>
      </c>
      <c r="L11" t="e">
        <f>VLOOKUP(H11,Sheet1!H:H,1,0)</f>
        <v>#N/A</v>
      </c>
    </row>
    <row r="12" spans="1:12">
      <c r="A12" t="s">
        <v>208</v>
      </c>
      <c r="B12" t="s">
        <v>209</v>
      </c>
      <c r="C12" t="s">
        <v>210</v>
      </c>
      <c r="D12" t="s">
        <v>211</v>
      </c>
      <c r="E12" t="s">
        <v>212</v>
      </c>
      <c r="F12" t="s">
        <v>80</v>
      </c>
      <c r="G12" t="s">
        <v>229</v>
      </c>
      <c r="H12">
        <v>2331203</v>
      </c>
      <c r="I12" t="s">
        <v>214</v>
      </c>
      <c r="J12" s="14">
        <v>45614</v>
      </c>
      <c r="K12" t="s">
        <v>215</v>
      </c>
      <c r="L12" t="e">
        <f>VLOOKUP(H12,Sheet1!H:H,1,0)</f>
        <v>#N/A</v>
      </c>
    </row>
    <row r="13" spans="1:12">
      <c r="A13" t="s">
        <v>208</v>
      </c>
      <c r="B13" t="s">
        <v>209</v>
      </c>
      <c r="C13" t="s">
        <v>210</v>
      </c>
      <c r="D13" t="s">
        <v>211</v>
      </c>
      <c r="E13" t="s">
        <v>212</v>
      </c>
      <c r="F13" t="s">
        <v>80</v>
      </c>
      <c r="G13" t="s">
        <v>230</v>
      </c>
      <c r="H13">
        <v>2494403</v>
      </c>
      <c r="I13" t="s">
        <v>214</v>
      </c>
      <c r="J13" s="14">
        <v>46069</v>
      </c>
      <c r="K13" t="s">
        <v>215</v>
      </c>
      <c r="L13" t="e">
        <f>VLOOKUP(H13,Sheet1!H:H,1,0)</f>
        <v>#N/A</v>
      </c>
    </row>
    <row r="14" spans="1:12">
      <c r="A14" t="s">
        <v>208</v>
      </c>
      <c r="B14" t="s">
        <v>209</v>
      </c>
      <c r="C14" t="s">
        <v>210</v>
      </c>
      <c r="D14" t="s">
        <v>211</v>
      </c>
      <c r="E14" t="s">
        <v>212</v>
      </c>
      <c r="F14" t="s">
        <v>80</v>
      </c>
      <c r="G14" t="s">
        <v>231</v>
      </c>
      <c r="H14">
        <v>1506903</v>
      </c>
      <c r="I14" t="s">
        <v>214</v>
      </c>
      <c r="J14" s="14">
        <v>42023</v>
      </c>
      <c r="K14" t="s">
        <v>215</v>
      </c>
      <c r="L14" t="e">
        <f>VLOOKUP(H14,Sheet1!H:H,1,0)</f>
        <v>#N/A</v>
      </c>
    </row>
    <row r="15" spans="1:12">
      <c r="A15" t="s">
        <v>208</v>
      </c>
      <c r="B15" t="s">
        <v>209</v>
      </c>
      <c r="C15" t="s">
        <v>210</v>
      </c>
      <c r="D15" t="s">
        <v>211</v>
      </c>
      <c r="E15" t="s">
        <v>212</v>
      </c>
      <c r="F15" t="s">
        <v>80</v>
      </c>
      <c r="G15" t="s">
        <v>232</v>
      </c>
      <c r="H15">
        <v>2463603</v>
      </c>
      <c r="I15" t="s">
        <v>214</v>
      </c>
      <c r="J15" s="14">
        <v>46023</v>
      </c>
      <c r="K15" t="s">
        <v>215</v>
      </c>
      <c r="L15" t="e">
        <f>VLOOKUP(H15,Sheet1!H:H,1,0)</f>
        <v>#N/A</v>
      </c>
    </row>
    <row r="16" spans="1:12">
      <c r="A16" t="s">
        <v>208</v>
      </c>
      <c r="B16" t="s">
        <v>209</v>
      </c>
      <c r="C16" t="s">
        <v>210</v>
      </c>
      <c r="D16" t="s">
        <v>211</v>
      </c>
      <c r="E16" t="s">
        <v>212</v>
      </c>
      <c r="F16" t="s">
        <v>80</v>
      </c>
      <c r="G16" t="s">
        <v>233</v>
      </c>
      <c r="H16">
        <v>2474103</v>
      </c>
      <c r="I16" t="s">
        <v>214</v>
      </c>
      <c r="J16" s="14">
        <v>46023</v>
      </c>
      <c r="K16" t="s">
        <v>215</v>
      </c>
      <c r="L16" t="e">
        <f>VLOOKUP(H16,Sheet1!H:H,1,0)</f>
        <v>#N/A</v>
      </c>
    </row>
    <row r="17" spans="1:12">
      <c r="A17" t="s">
        <v>208</v>
      </c>
      <c r="B17" t="s">
        <v>209</v>
      </c>
      <c r="C17" t="s">
        <v>210</v>
      </c>
      <c r="D17" t="s">
        <v>211</v>
      </c>
      <c r="E17" t="s">
        <v>212</v>
      </c>
      <c r="F17" t="s">
        <v>80</v>
      </c>
      <c r="G17" t="s">
        <v>234</v>
      </c>
      <c r="H17">
        <v>2322703</v>
      </c>
      <c r="I17" t="s">
        <v>214</v>
      </c>
      <c r="J17" s="14">
        <v>45536</v>
      </c>
      <c r="K17" t="s">
        <v>215</v>
      </c>
      <c r="L17" t="e">
        <f>VLOOKUP(H17,Sheet1!H:H,1,0)</f>
        <v>#N/A</v>
      </c>
    </row>
    <row r="18" spans="1:12">
      <c r="A18" t="s">
        <v>208</v>
      </c>
      <c r="B18" t="s">
        <v>209</v>
      </c>
      <c r="C18" t="s">
        <v>210</v>
      </c>
      <c r="D18" t="s">
        <v>211</v>
      </c>
      <c r="E18" t="s">
        <v>212</v>
      </c>
      <c r="F18" t="s">
        <v>80</v>
      </c>
      <c r="G18" t="s">
        <v>235</v>
      </c>
      <c r="H18">
        <v>2475203</v>
      </c>
      <c r="I18" t="s">
        <v>214</v>
      </c>
      <c r="J18" s="14">
        <v>46023</v>
      </c>
      <c r="K18" t="s">
        <v>215</v>
      </c>
      <c r="L18" t="e">
        <f>VLOOKUP(H18,Sheet1!H:H,1,0)</f>
        <v>#N/A</v>
      </c>
    </row>
    <row r="19" spans="1:12">
      <c r="A19" t="s">
        <v>208</v>
      </c>
      <c r="B19" t="s">
        <v>209</v>
      </c>
      <c r="C19" t="s">
        <v>210</v>
      </c>
      <c r="D19" t="s">
        <v>211</v>
      </c>
      <c r="E19" t="s">
        <v>212</v>
      </c>
      <c r="F19" t="s">
        <v>80</v>
      </c>
      <c r="G19" t="s">
        <v>236</v>
      </c>
      <c r="H19">
        <v>2491303</v>
      </c>
      <c r="I19" t="s">
        <v>214</v>
      </c>
      <c r="J19" s="14">
        <v>46069</v>
      </c>
      <c r="K19" t="s">
        <v>215</v>
      </c>
      <c r="L19" t="e">
        <f>VLOOKUP(H19,Sheet1!H:H,1,0)</f>
        <v>#N/A</v>
      </c>
    </row>
    <row r="20" spans="1:12">
      <c r="A20" t="s">
        <v>208</v>
      </c>
      <c r="B20" t="s">
        <v>209</v>
      </c>
      <c r="C20" t="s">
        <v>210</v>
      </c>
      <c r="D20" t="s">
        <v>211</v>
      </c>
      <c r="E20" t="s">
        <v>237</v>
      </c>
      <c r="F20" t="s">
        <v>238</v>
      </c>
      <c r="G20" t="s">
        <v>239</v>
      </c>
      <c r="H20">
        <v>2363403</v>
      </c>
      <c r="I20" t="s">
        <v>240</v>
      </c>
      <c r="J20" s="14">
        <v>45658</v>
      </c>
      <c r="K20" t="s">
        <v>241</v>
      </c>
      <c r="L20" t="e">
        <f>VLOOKUP(H20,Sheet1!H:H,1,0)</f>
        <v>#N/A</v>
      </c>
    </row>
    <row r="21" spans="1:12">
      <c r="A21" t="s">
        <v>208</v>
      </c>
      <c r="B21" t="s">
        <v>209</v>
      </c>
      <c r="C21" t="s">
        <v>210</v>
      </c>
      <c r="D21" t="s">
        <v>211</v>
      </c>
      <c r="E21" t="s">
        <v>224</v>
      </c>
      <c r="F21" t="s">
        <v>238</v>
      </c>
      <c r="G21" t="s">
        <v>241</v>
      </c>
      <c r="H21">
        <v>1742903</v>
      </c>
      <c r="I21" t="s">
        <v>225</v>
      </c>
      <c r="J21" s="14">
        <v>42917</v>
      </c>
      <c r="K21" t="s">
        <v>226</v>
      </c>
      <c r="L21" t="e">
        <f>VLOOKUP(H21,Sheet1!H:H,1,0)</f>
        <v>#N/A</v>
      </c>
    </row>
    <row r="22" spans="1:12">
      <c r="A22" t="s">
        <v>208</v>
      </c>
      <c r="B22" t="s">
        <v>209</v>
      </c>
      <c r="C22" t="s">
        <v>210</v>
      </c>
      <c r="D22" t="s">
        <v>211</v>
      </c>
      <c r="E22" t="s">
        <v>237</v>
      </c>
      <c r="F22" t="s">
        <v>238</v>
      </c>
      <c r="G22" t="s">
        <v>242</v>
      </c>
      <c r="H22">
        <v>2164703</v>
      </c>
      <c r="I22" t="s">
        <v>243</v>
      </c>
      <c r="J22" s="14">
        <v>44973</v>
      </c>
      <c r="K22" t="s">
        <v>241</v>
      </c>
      <c r="L22" t="e">
        <f>VLOOKUP(H22,Sheet1!H:H,1,0)</f>
        <v>#N/A</v>
      </c>
    </row>
    <row r="23" spans="1:12">
      <c r="A23" t="s">
        <v>208</v>
      </c>
      <c r="B23" t="s">
        <v>209</v>
      </c>
      <c r="C23" t="s">
        <v>210</v>
      </c>
      <c r="D23" t="s">
        <v>211</v>
      </c>
      <c r="E23" t="s">
        <v>237</v>
      </c>
      <c r="F23" t="s">
        <v>238</v>
      </c>
      <c r="G23" t="s">
        <v>244</v>
      </c>
      <c r="H23">
        <v>2443803</v>
      </c>
      <c r="I23" t="s">
        <v>214</v>
      </c>
      <c r="J23" s="14">
        <v>46023</v>
      </c>
      <c r="K23" t="s">
        <v>241</v>
      </c>
      <c r="L23" t="e">
        <f>VLOOKUP(H23,Sheet1!H:H,1,0)</f>
        <v>#N/A</v>
      </c>
    </row>
    <row r="24" spans="1:12">
      <c r="A24" t="s">
        <v>208</v>
      </c>
      <c r="B24" t="s">
        <v>209</v>
      </c>
      <c r="C24" t="s">
        <v>210</v>
      </c>
      <c r="D24" t="s">
        <v>211</v>
      </c>
      <c r="E24" t="s">
        <v>237</v>
      </c>
      <c r="F24" t="s">
        <v>238</v>
      </c>
      <c r="G24" t="s">
        <v>245</v>
      </c>
      <c r="H24">
        <v>2458003</v>
      </c>
      <c r="I24" t="s">
        <v>214</v>
      </c>
      <c r="J24" s="14">
        <v>46023</v>
      </c>
      <c r="K24" t="s">
        <v>241</v>
      </c>
      <c r="L24" t="e">
        <f>VLOOKUP(H24,Sheet1!H:H,1,0)</f>
        <v>#N/A</v>
      </c>
    </row>
    <row r="25" spans="1:12">
      <c r="A25" t="s">
        <v>208</v>
      </c>
      <c r="B25" t="s">
        <v>209</v>
      </c>
      <c r="C25" t="s">
        <v>210</v>
      </c>
      <c r="D25" t="s">
        <v>211</v>
      </c>
      <c r="E25" t="s">
        <v>237</v>
      </c>
      <c r="F25" t="s">
        <v>238</v>
      </c>
      <c r="G25" t="s">
        <v>246</v>
      </c>
      <c r="H25">
        <v>2486903</v>
      </c>
      <c r="I25" t="s">
        <v>214</v>
      </c>
      <c r="J25" s="14">
        <v>46054</v>
      </c>
      <c r="K25" t="s">
        <v>241</v>
      </c>
      <c r="L25" t="e">
        <f>VLOOKUP(H25,Sheet1!H:H,1,0)</f>
        <v>#N/A</v>
      </c>
    </row>
    <row r="26" spans="1:12">
      <c r="A26" t="s">
        <v>208</v>
      </c>
      <c r="B26" t="s">
        <v>209</v>
      </c>
      <c r="C26" t="s">
        <v>210</v>
      </c>
      <c r="D26" t="s">
        <v>211</v>
      </c>
      <c r="E26" t="s">
        <v>237</v>
      </c>
      <c r="F26" t="s">
        <v>238</v>
      </c>
      <c r="G26" t="s">
        <v>247</v>
      </c>
      <c r="H26">
        <v>2086903</v>
      </c>
      <c r="I26" t="s">
        <v>243</v>
      </c>
      <c r="J26" s="14">
        <v>45444</v>
      </c>
      <c r="K26" t="s">
        <v>241</v>
      </c>
      <c r="L26" t="e">
        <f>VLOOKUP(H26,Sheet1!H:H,1,0)</f>
        <v>#N/A</v>
      </c>
    </row>
    <row r="27" spans="1:12">
      <c r="A27" t="s">
        <v>208</v>
      </c>
      <c r="B27" t="s">
        <v>209</v>
      </c>
      <c r="C27" t="s">
        <v>210</v>
      </c>
      <c r="D27" t="s">
        <v>211</v>
      </c>
      <c r="E27" t="s">
        <v>237</v>
      </c>
      <c r="F27" t="s">
        <v>238</v>
      </c>
      <c r="G27" t="s">
        <v>248</v>
      </c>
      <c r="H27">
        <v>2397203</v>
      </c>
      <c r="I27" t="s">
        <v>214</v>
      </c>
      <c r="J27" s="14">
        <v>46023</v>
      </c>
      <c r="K27" t="s">
        <v>241</v>
      </c>
      <c r="L27" t="e">
        <f>VLOOKUP(H27,Sheet1!H:H,1,0)</f>
        <v>#N/A</v>
      </c>
    </row>
    <row r="28" spans="1:12">
      <c r="A28" t="s">
        <v>208</v>
      </c>
      <c r="B28" t="s">
        <v>209</v>
      </c>
      <c r="C28" t="s">
        <v>210</v>
      </c>
      <c r="D28" t="s">
        <v>211</v>
      </c>
      <c r="E28" t="s">
        <v>237</v>
      </c>
      <c r="F28" t="s">
        <v>238</v>
      </c>
      <c r="G28" t="s">
        <v>249</v>
      </c>
      <c r="H28">
        <v>2395103</v>
      </c>
      <c r="I28" t="s">
        <v>214</v>
      </c>
      <c r="J28" s="14">
        <v>45740</v>
      </c>
      <c r="K28" t="s">
        <v>241</v>
      </c>
      <c r="L28" t="e">
        <f>VLOOKUP(H28,Sheet1!H:H,1,0)</f>
        <v>#N/A</v>
      </c>
    </row>
    <row r="29" spans="1:12">
      <c r="A29" t="s">
        <v>208</v>
      </c>
      <c r="B29" t="s">
        <v>209</v>
      </c>
      <c r="C29" t="s">
        <v>210</v>
      </c>
      <c r="D29" t="s">
        <v>211</v>
      </c>
      <c r="E29" t="s">
        <v>237</v>
      </c>
      <c r="F29" t="s">
        <v>238</v>
      </c>
      <c r="G29" t="s">
        <v>250</v>
      </c>
      <c r="H29">
        <v>2485303</v>
      </c>
      <c r="I29" t="s">
        <v>214</v>
      </c>
      <c r="J29" s="14">
        <v>46054</v>
      </c>
      <c r="K29" t="s">
        <v>241</v>
      </c>
      <c r="L29" t="e">
        <f>VLOOKUP(H29,Sheet1!H:H,1,0)</f>
        <v>#N/A</v>
      </c>
    </row>
    <row r="30" spans="1:12">
      <c r="A30" t="s">
        <v>208</v>
      </c>
      <c r="B30" t="s">
        <v>209</v>
      </c>
      <c r="C30" t="s">
        <v>210</v>
      </c>
      <c r="D30" t="s">
        <v>211</v>
      </c>
      <c r="E30" t="s">
        <v>237</v>
      </c>
      <c r="F30" t="s">
        <v>238</v>
      </c>
      <c r="G30" t="s">
        <v>251</v>
      </c>
      <c r="H30">
        <v>2394603</v>
      </c>
      <c r="I30" t="s">
        <v>214</v>
      </c>
      <c r="J30" s="14">
        <v>45735</v>
      </c>
      <c r="K30" t="s">
        <v>241</v>
      </c>
      <c r="L30" t="e">
        <f>VLOOKUP(H30,Sheet1!H:H,1,0)</f>
        <v>#N/A</v>
      </c>
    </row>
    <row r="31" spans="1:12">
      <c r="A31" t="s">
        <v>208</v>
      </c>
      <c r="B31" t="s">
        <v>209</v>
      </c>
      <c r="C31" t="s">
        <v>210</v>
      </c>
      <c r="D31" t="s">
        <v>211</v>
      </c>
      <c r="E31" t="s">
        <v>237</v>
      </c>
      <c r="F31" t="s">
        <v>238</v>
      </c>
      <c r="G31" t="s">
        <v>252</v>
      </c>
      <c r="H31">
        <v>2485103</v>
      </c>
      <c r="I31" t="s">
        <v>220</v>
      </c>
      <c r="J31" s="14">
        <v>46023</v>
      </c>
      <c r="K31" t="s">
        <v>241</v>
      </c>
      <c r="L31" t="e">
        <f>VLOOKUP(H31,Sheet1!H:H,1,0)</f>
        <v>#N/A</v>
      </c>
    </row>
    <row r="32" spans="1:12">
      <c r="A32" t="s">
        <v>208</v>
      </c>
      <c r="B32" t="s">
        <v>209</v>
      </c>
      <c r="C32" t="s">
        <v>210</v>
      </c>
      <c r="D32" t="s">
        <v>211</v>
      </c>
      <c r="E32" t="s">
        <v>237</v>
      </c>
      <c r="F32" t="s">
        <v>238</v>
      </c>
      <c r="G32" t="s">
        <v>253</v>
      </c>
      <c r="H32">
        <v>2486703</v>
      </c>
      <c r="I32" t="s">
        <v>214</v>
      </c>
      <c r="J32" s="14">
        <v>46054</v>
      </c>
      <c r="K32" t="s">
        <v>241</v>
      </c>
      <c r="L32" t="e">
        <f>VLOOKUP(H32,Sheet1!H:H,1,0)</f>
        <v>#N/A</v>
      </c>
    </row>
    <row r="33" spans="1:12">
      <c r="A33" t="s">
        <v>208</v>
      </c>
      <c r="B33" t="s">
        <v>209</v>
      </c>
      <c r="C33" t="s">
        <v>210</v>
      </c>
      <c r="D33" t="s">
        <v>211</v>
      </c>
      <c r="E33" t="s">
        <v>237</v>
      </c>
      <c r="F33" t="s">
        <v>238</v>
      </c>
      <c r="G33" t="s">
        <v>254</v>
      </c>
      <c r="H33">
        <v>2427603</v>
      </c>
      <c r="I33" t="s">
        <v>214</v>
      </c>
      <c r="J33" s="14">
        <v>45904</v>
      </c>
      <c r="K33" t="s">
        <v>241</v>
      </c>
      <c r="L33" t="e">
        <f>VLOOKUP(H33,Sheet1!H:H,1,0)</f>
        <v>#N/A</v>
      </c>
    </row>
    <row r="34" spans="1:12">
      <c r="A34" t="s">
        <v>208</v>
      </c>
      <c r="B34" t="s">
        <v>209</v>
      </c>
      <c r="C34" t="s">
        <v>210</v>
      </c>
      <c r="D34" t="s">
        <v>211</v>
      </c>
      <c r="E34" t="s">
        <v>237</v>
      </c>
      <c r="F34" t="s">
        <v>238</v>
      </c>
      <c r="G34" t="s">
        <v>255</v>
      </c>
      <c r="H34">
        <v>1755603</v>
      </c>
      <c r="I34" t="s">
        <v>214</v>
      </c>
      <c r="J34" s="14">
        <v>45520</v>
      </c>
      <c r="K34" t="s">
        <v>241</v>
      </c>
      <c r="L34" t="e">
        <f>VLOOKUP(H34,Sheet1!H:H,1,0)</f>
        <v>#N/A</v>
      </c>
    </row>
    <row r="35" spans="1:12">
      <c r="A35" t="s">
        <v>208</v>
      </c>
      <c r="B35" t="s">
        <v>209</v>
      </c>
      <c r="C35" t="s">
        <v>210</v>
      </c>
      <c r="D35" t="s">
        <v>211</v>
      </c>
      <c r="E35" t="s">
        <v>237</v>
      </c>
      <c r="F35" t="s">
        <v>238</v>
      </c>
      <c r="G35" t="s">
        <v>256</v>
      </c>
      <c r="H35">
        <v>2395303</v>
      </c>
      <c r="I35" t="s">
        <v>214</v>
      </c>
      <c r="J35" s="14">
        <v>45740</v>
      </c>
      <c r="K35" t="s">
        <v>241</v>
      </c>
      <c r="L35" t="e">
        <f>VLOOKUP(H35,Sheet1!H:H,1,0)</f>
        <v>#N/A</v>
      </c>
    </row>
    <row r="36" spans="1:12">
      <c r="A36" t="s">
        <v>208</v>
      </c>
      <c r="B36" t="s">
        <v>209</v>
      </c>
      <c r="C36" t="s">
        <v>210</v>
      </c>
      <c r="D36" t="s">
        <v>211</v>
      </c>
      <c r="E36" t="s">
        <v>237</v>
      </c>
      <c r="F36" t="s">
        <v>238</v>
      </c>
      <c r="G36" t="s">
        <v>257</v>
      </c>
      <c r="H36">
        <v>2499403</v>
      </c>
      <c r="I36" t="s">
        <v>214</v>
      </c>
      <c r="J36" s="14">
        <v>46057</v>
      </c>
      <c r="K36" t="s">
        <v>241</v>
      </c>
      <c r="L36" t="e">
        <f>VLOOKUP(H36,Sheet1!H:H,1,0)</f>
        <v>#N/A</v>
      </c>
    </row>
    <row r="37" spans="1:12">
      <c r="A37" t="s">
        <v>208</v>
      </c>
      <c r="B37" t="s">
        <v>209</v>
      </c>
      <c r="C37" t="s">
        <v>210</v>
      </c>
      <c r="D37" t="s">
        <v>211</v>
      </c>
      <c r="E37" t="s">
        <v>237</v>
      </c>
      <c r="F37" t="s">
        <v>238</v>
      </c>
      <c r="G37" t="s">
        <v>258</v>
      </c>
      <c r="H37">
        <v>2401403</v>
      </c>
      <c r="I37" t="s">
        <v>214</v>
      </c>
      <c r="J37" s="14">
        <v>45770</v>
      </c>
      <c r="K37" t="s">
        <v>241</v>
      </c>
      <c r="L37" t="e">
        <f>VLOOKUP(H37,Sheet1!H:H,1,0)</f>
        <v>#N/A</v>
      </c>
    </row>
    <row r="38" spans="1:12">
      <c r="A38" t="s">
        <v>208</v>
      </c>
      <c r="B38" t="s">
        <v>209</v>
      </c>
      <c r="C38" t="s">
        <v>210</v>
      </c>
      <c r="D38" t="s">
        <v>211</v>
      </c>
      <c r="E38" t="s">
        <v>237</v>
      </c>
      <c r="F38" t="s">
        <v>238</v>
      </c>
      <c r="G38" t="s">
        <v>259</v>
      </c>
      <c r="H38">
        <v>2503803</v>
      </c>
      <c r="I38" t="s">
        <v>220</v>
      </c>
      <c r="J38" s="14">
        <v>46073</v>
      </c>
      <c r="K38" t="s">
        <v>241</v>
      </c>
      <c r="L38" t="e">
        <f>VLOOKUP(H38,Sheet1!H:H,1,0)</f>
        <v>#N/A</v>
      </c>
    </row>
    <row r="39" spans="1:12">
      <c r="A39" t="s">
        <v>208</v>
      </c>
      <c r="B39" t="s">
        <v>209</v>
      </c>
      <c r="C39" t="s">
        <v>210</v>
      </c>
      <c r="D39" t="s">
        <v>211</v>
      </c>
      <c r="E39" t="s">
        <v>237</v>
      </c>
      <c r="F39" t="s">
        <v>238</v>
      </c>
      <c r="G39" t="s">
        <v>260</v>
      </c>
      <c r="H39">
        <v>2374903</v>
      </c>
      <c r="I39" t="s">
        <v>214</v>
      </c>
      <c r="J39" s="14">
        <v>45658</v>
      </c>
      <c r="K39" t="s">
        <v>241</v>
      </c>
      <c r="L39" t="e">
        <f>VLOOKUP(H39,Sheet1!H:H,1,0)</f>
        <v>#N/A</v>
      </c>
    </row>
    <row r="40" spans="1:12">
      <c r="A40" t="s">
        <v>208</v>
      </c>
      <c r="B40" t="s">
        <v>209</v>
      </c>
      <c r="C40" t="s">
        <v>210</v>
      </c>
      <c r="D40" t="s">
        <v>211</v>
      </c>
      <c r="E40" t="s">
        <v>237</v>
      </c>
      <c r="F40" t="s">
        <v>238</v>
      </c>
      <c r="G40" t="s">
        <v>261</v>
      </c>
      <c r="H40">
        <v>1970403</v>
      </c>
      <c r="I40" t="s">
        <v>222</v>
      </c>
      <c r="J40" s="14">
        <v>43846</v>
      </c>
      <c r="K40" t="s">
        <v>241</v>
      </c>
      <c r="L40" t="e">
        <f>VLOOKUP(H40,Sheet1!H:H,1,0)</f>
        <v>#N/A</v>
      </c>
    </row>
    <row r="41" spans="1:12">
      <c r="A41" t="s">
        <v>208</v>
      </c>
      <c r="B41" t="s">
        <v>209</v>
      </c>
      <c r="C41" t="s">
        <v>210</v>
      </c>
      <c r="D41" t="s">
        <v>211</v>
      </c>
      <c r="E41" t="s">
        <v>237</v>
      </c>
      <c r="F41" t="s">
        <v>238</v>
      </c>
      <c r="G41" t="s">
        <v>262</v>
      </c>
      <c r="H41">
        <v>2499303</v>
      </c>
      <c r="I41" t="s">
        <v>220</v>
      </c>
      <c r="J41" s="14">
        <v>46057</v>
      </c>
      <c r="K41" t="s">
        <v>241</v>
      </c>
      <c r="L41" t="e">
        <f>VLOOKUP(H41,Sheet1!H:H,1,0)</f>
        <v>#N/A</v>
      </c>
    </row>
    <row r="42" spans="1:12">
      <c r="A42" t="s">
        <v>208</v>
      </c>
      <c r="B42" t="s">
        <v>263</v>
      </c>
      <c r="C42" t="s">
        <v>210</v>
      </c>
      <c r="D42" t="s">
        <v>211</v>
      </c>
      <c r="E42" t="s">
        <v>264</v>
      </c>
      <c r="F42" t="s">
        <v>265</v>
      </c>
      <c r="G42" t="s">
        <v>266</v>
      </c>
      <c r="H42">
        <v>2363803</v>
      </c>
      <c r="I42" t="s">
        <v>214</v>
      </c>
      <c r="J42" s="14">
        <v>45658</v>
      </c>
      <c r="K42" t="s">
        <v>267</v>
      </c>
      <c r="L42" t="e">
        <f>VLOOKUP(H42,Sheet1!H:H,1,0)</f>
        <v>#N/A</v>
      </c>
    </row>
    <row r="43" spans="1:12">
      <c r="A43" t="s">
        <v>208</v>
      </c>
      <c r="B43" t="s">
        <v>263</v>
      </c>
      <c r="C43" t="s">
        <v>210</v>
      </c>
      <c r="D43" t="s">
        <v>211</v>
      </c>
      <c r="E43" t="s">
        <v>224</v>
      </c>
      <c r="F43" t="s">
        <v>265</v>
      </c>
      <c r="G43" t="s">
        <v>267</v>
      </c>
      <c r="H43">
        <v>1437803</v>
      </c>
      <c r="I43" t="s">
        <v>225</v>
      </c>
      <c r="J43" s="14">
        <v>41708</v>
      </c>
      <c r="K43" t="s">
        <v>226</v>
      </c>
      <c r="L43" t="e">
        <f>VLOOKUP(H43,Sheet1!H:H,1,0)</f>
        <v>#N/A</v>
      </c>
    </row>
    <row r="44" spans="1:12">
      <c r="A44" t="s">
        <v>208</v>
      </c>
      <c r="B44" t="s">
        <v>263</v>
      </c>
      <c r="C44" t="s">
        <v>210</v>
      </c>
      <c r="D44" t="s">
        <v>211</v>
      </c>
      <c r="E44" t="s">
        <v>264</v>
      </c>
      <c r="F44" t="s">
        <v>265</v>
      </c>
      <c r="G44" t="s">
        <v>268</v>
      </c>
      <c r="H44">
        <v>2291403</v>
      </c>
      <c r="I44" t="s">
        <v>214</v>
      </c>
      <c r="J44" s="14">
        <v>45352</v>
      </c>
      <c r="K44" t="s">
        <v>267</v>
      </c>
      <c r="L44" t="e">
        <f>VLOOKUP(H44,Sheet1!H:H,1,0)</f>
        <v>#N/A</v>
      </c>
    </row>
    <row r="45" spans="1:12">
      <c r="A45" t="s">
        <v>208</v>
      </c>
      <c r="B45" t="s">
        <v>263</v>
      </c>
      <c r="C45" t="s">
        <v>210</v>
      </c>
      <c r="D45" t="s">
        <v>211</v>
      </c>
      <c r="E45" t="s">
        <v>264</v>
      </c>
      <c r="F45" t="s">
        <v>265</v>
      </c>
      <c r="G45" t="s">
        <v>269</v>
      </c>
      <c r="H45">
        <v>1957803</v>
      </c>
      <c r="I45" t="s">
        <v>222</v>
      </c>
      <c r="J45" s="14">
        <v>44282</v>
      </c>
      <c r="K45" t="s">
        <v>267</v>
      </c>
      <c r="L45" t="e">
        <f>VLOOKUP(H45,Sheet1!H:H,1,0)</f>
        <v>#N/A</v>
      </c>
    </row>
    <row r="46" spans="1:12">
      <c r="A46" t="s">
        <v>208</v>
      </c>
      <c r="B46" t="s">
        <v>263</v>
      </c>
      <c r="C46" t="s">
        <v>210</v>
      </c>
      <c r="D46" t="s">
        <v>211</v>
      </c>
      <c r="E46" t="s">
        <v>264</v>
      </c>
      <c r="F46" t="s">
        <v>265</v>
      </c>
      <c r="G46" t="s">
        <v>270</v>
      </c>
      <c r="H46">
        <v>2153503</v>
      </c>
      <c r="I46" t="s">
        <v>214</v>
      </c>
      <c r="J46" s="14">
        <v>45323</v>
      </c>
      <c r="K46" t="s">
        <v>267</v>
      </c>
      <c r="L46" t="e">
        <f>VLOOKUP(H46,Sheet1!H:H,1,0)</f>
        <v>#N/A</v>
      </c>
    </row>
    <row r="47" spans="1:12">
      <c r="A47" t="s">
        <v>208</v>
      </c>
      <c r="B47" t="s">
        <v>263</v>
      </c>
      <c r="C47" t="s">
        <v>210</v>
      </c>
      <c r="D47" t="s">
        <v>211</v>
      </c>
      <c r="E47" t="s">
        <v>264</v>
      </c>
      <c r="F47" t="s">
        <v>265</v>
      </c>
      <c r="G47" t="s">
        <v>271</v>
      </c>
      <c r="H47">
        <v>2110403</v>
      </c>
      <c r="I47" t="s">
        <v>214</v>
      </c>
      <c r="J47" s="14">
        <v>44712</v>
      </c>
      <c r="K47" t="s">
        <v>267</v>
      </c>
      <c r="L47" t="e">
        <f>VLOOKUP(H47,Sheet1!H:H,1,0)</f>
        <v>#N/A</v>
      </c>
    </row>
    <row r="48" spans="1:12">
      <c r="A48" t="s">
        <v>208</v>
      </c>
      <c r="B48" t="s">
        <v>263</v>
      </c>
      <c r="C48" t="s">
        <v>210</v>
      </c>
      <c r="D48" t="s">
        <v>211</v>
      </c>
      <c r="E48" t="s">
        <v>264</v>
      </c>
      <c r="F48" t="s">
        <v>265</v>
      </c>
      <c r="G48" t="s">
        <v>272</v>
      </c>
      <c r="H48">
        <v>1976303</v>
      </c>
      <c r="I48" t="s">
        <v>243</v>
      </c>
      <c r="J48" s="14">
        <v>44312</v>
      </c>
      <c r="K48" t="s">
        <v>267</v>
      </c>
      <c r="L48" t="e">
        <f>VLOOKUP(H48,Sheet1!H:H,1,0)</f>
        <v>#N/A</v>
      </c>
    </row>
    <row r="49" spans="1:12">
      <c r="A49" t="s">
        <v>208</v>
      </c>
      <c r="B49" t="s">
        <v>263</v>
      </c>
      <c r="C49" t="s">
        <v>210</v>
      </c>
      <c r="D49" t="s">
        <v>211</v>
      </c>
      <c r="E49" t="s">
        <v>264</v>
      </c>
      <c r="F49" t="s">
        <v>265</v>
      </c>
      <c r="G49" t="s">
        <v>273</v>
      </c>
      <c r="H49">
        <v>2503603</v>
      </c>
      <c r="I49" t="s">
        <v>214</v>
      </c>
      <c r="J49" s="14">
        <v>46073</v>
      </c>
      <c r="K49" t="s">
        <v>267</v>
      </c>
      <c r="L49" t="e">
        <f>VLOOKUP(H49,Sheet1!H:H,1,0)</f>
        <v>#N/A</v>
      </c>
    </row>
    <row r="50" spans="1:12">
      <c r="A50" t="s">
        <v>208</v>
      </c>
      <c r="B50" t="s">
        <v>274</v>
      </c>
      <c r="C50" t="s">
        <v>210</v>
      </c>
      <c r="D50" t="s">
        <v>211</v>
      </c>
      <c r="E50" t="s">
        <v>275</v>
      </c>
      <c r="F50" t="s">
        <v>276</v>
      </c>
      <c r="G50" t="s">
        <v>277</v>
      </c>
      <c r="H50">
        <v>2499503</v>
      </c>
      <c r="I50" t="s">
        <v>214</v>
      </c>
      <c r="J50" s="14">
        <v>46062</v>
      </c>
      <c r="K50" t="s">
        <v>278</v>
      </c>
      <c r="L50" t="e">
        <f>VLOOKUP(H50,Sheet1!H:H,1,0)</f>
        <v>#N/A</v>
      </c>
    </row>
    <row r="51" spans="1:12">
      <c r="A51" t="s">
        <v>208</v>
      </c>
      <c r="B51" t="s">
        <v>274</v>
      </c>
      <c r="C51" t="s">
        <v>210</v>
      </c>
      <c r="D51" t="s">
        <v>211</v>
      </c>
      <c r="E51" t="s">
        <v>275</v>
      </c>
      <c r="F51" t="s">
        <v>276</v>
      </c>
      <c r="G51" t="s">
        <v>279</v>
      </c>
      <c r="H51">
        <v>2502903</v>
      </c>
      <c r="I51" t="s">
        <v>214</v>
      </c>
      <c r="J51" s="14">
        <v>46073</v>
      </c>
      <c r="K51" t="s">
        <v>278</v>
      </c>
      <c r="L51" t="e">
        <f>VLOOKUP(H51,Sheet1!H:H,1,0)</f>
        <v>#N/A</v>
      </c>
    </row>
    <row r="52" spans="1:12">
      <c r="A52" t="s">
        <v>208</v>
      </c>
      <c r="B52" t="s">
        <v>274</v>
      </c>
      <c r="C52" t="s">
        <v>210</v>
      </c>
      <c r="D52" t="s">
        <v>211</v>
      </c>
      <c r="E52" t="s">
        <v>275</v>
      </c>
      <c r="F52" t="s">
        <v>276</v>
      </c>
      <c r="G52" t="s">
        <v>280</v>
      </c>
      <c r="H52">
        <v>2371703</v>
      </c>
      <c r="I52" t="s">
        <v>214</v>
      </c>
      <c r="J52" s="14">
        <v>46059</v>
      </c>
      <c r="K52" t="s">
        <v>278</v>
      </c>
      <c r="L52" t="e">
        <f>VLOOKUP(H52,Sheet1!H:H,1,0)</f>
        <v>#N/A</v>
      </c>
    </row>
    <row r="53" spans="1:12">
      <c r="A53" t="s">
        <v>208</v>
      </c>
      <c r="B53" t="s">
        <v>274</v>
      </c>
      <c r="C53" t="s">
        <v>210</v>
      </c>
      <c r="D53" t="s">
        <v>211</v>
      </c>
      <c r="E53" t="s">
        <v>275</v>
      </c>
      <c r="F53" t="s">
        <v>276</v>
      </c>
      <c r="G53" t="s">
        <v>281</v>
      </c>
      <c r="H53">
        <v>1973403</v>
      </c>
      <c r="I53" t="s">
        <v>222</v>
      </c>
      <c r="J53" s="14">
        <v>43831</v>
      </c>
      <c r="K53" t="s">
        <v>278</v>
      </c>
      <c r="L53" t="e">
        <f>VLOOKUP(H53,Sheet1!H:H,1,0)</f>
        <v>#N/A</v>
      </c>
    </row>
    <row r="54" spans="1:12">
      <c r="A54" t="s">
        <v>208</v>
      </c>
      <c r="B54" t="s">
        <v>274</v>
      </c>
      <c r="C54" t="s">
        <v>210</v>
      </c>
      <c r="D54" t="s">
        <v>211</v>
      </c>
      <c r="E54" t="s">
        <v>275</v>
      </c>
      <c r="F54" t="s">
        <v>276</v>
      </c>
      <c r="G54" t="s">
        <v>282</v>
      </c>
      <c r="H54">
        <v>2300103</v>
      </c>
      <c r="I54" t="s">
        <v>214</v>
      </c>
      <c r="J54" s="14">
        <v>45505</v>
      </c>
      <c r="K54" t="s">
        <v>278</v>
      </c>
      <c r="L54" t="e">
        <f>VLOOKUP(H54,Sheet1!H:H,1,0)</f>
        <v>#N/A</v>
      </c>
    </row>
    <row r="55" spans="1:12">
      <c r="A55" t="s">
        <v>208</v>
      </c>
      <c r="B55" t="s">
        <v>274</v>
      </c>
      <c r="C55" t="s">
        <v>210</v>
      </c>
      <c r="D55" t="s">
        <v>211</v>
      </c>
      <c r="E55" t="s">
        <v>275</v>
      </c>
      <c r="F55" t="s">
        <v>276</v>
      </c>
      <c r="G55" t="s">
        <v>283</v>
      </c>
      <c r="H55">
        <v>2314303</v>
      </c>
      <c r="I55" t="s">
        <v>214</v>
      </c>
      <c r="J55" s="14">
        <v>45505</v>
      </c>
      <c r="K55" t="s">
        <v>278</v>
      </c>
      <c r="L55" t="e">
        <f>VLOOKUP(H55,Sheet1!H:H,1,0)</f>
        <v>#N/A</v>
      </c>
    </row>
    <row r="56" spans="1:12">
      <c r="A56" t="s">
        <v>208</v>
      </c>
      <c r="B56" t="s">
        <v>274</v>
      </c>
      <c r="C56" t="s">
        <v>210</v>
      </c>
      <c r="D56" t="s">
        <v>211</v>
      </c>
      <c r="E56" t="s">
        <v>224</v>
      </c>
      <c r="F56" t="s">
        <v>276</v>
      </c>
      <c r="G56" t="s">
        <v>278</v>
      </c>
      <c r="H56">
        <v>1781303</v>
      </c>
      <c r="I56" t="s">
        <v>225</v>
      </c>
      <c r="J56" s="14">
        <v>43032</v>
      </c>
      <c r="K56" t="s">
        <v>226</v>
      </c>
      <c r="L56" t="e">
        <f>VLOOKUP(H56,Sheet1!H:H,1,0)</f>
        <v>#N/A</v>
      </c>
    </row>
    <row r="57" spans="1:12">
      <c r="A57" t="s">
        <v>208</v>
      </c>
      <c r="B57" t="s">
        <v>274</v>
      </c>
      <c r="C57" t="s">
        <v>210</v>
      </c>
      <c r="D57" t="s">
        <v>211</v>
      </c>
      <c r="E57" t="s">
        <v>275</v>
      </c>
      <c r="F57" t="s">
        <v>276</v>
      </c>
      <c r="G57" t="s">
        <v>284</v>
      </c>
      <c r="H57">
        <v>2381303</v>
      </c>
      <c r="I57" t="s">
        <v>243</v>
      </c>
      <c r="J57" s="14">
        <v>45673</v>
      </c>
      <c r="K57" t="s">
        <v>278</v>
      </c>
      <c r="L57" t="e">
        <f>VLOOKUP(H57,Sheet1!H:H,1,0)</f>
        <v>#N/A</v>
      </c>
    </row>
    <row r="58" spans="1:12">
      <c r="A58" t="s">
        <v>208</v>
      </c>
      <c r="B58" t="s">
        <v>274</v>
      </c>
      <c r="C58" t="s">
        <v>210</v>
      </c>
      <c r="D58" t="s">
        <v>211</v>
      </c>
      <c r="E58" t="s">
        <v>275</v>
      </c>
      <c r="F58" t="s">
        <v>276</v>
      </c>
      <c r="G58" t="s">
        <v>285</v>
      </c>
      <c r="H58">
        <v>2135703</v>
      </c>
      <c r="I58" t="s">
        <v>214</v>
      </c>
      <c r="J58" s="14">
        <v>44925</v>
      </c>
      <c r="K58" t="s">
        <v>278</v>
      </c>
      <c r="L58" t="e">
        <f>VLOOKUP(H58,Sheet1!H:H,1,0)</f>
        <v>#N/A</v>
      </c>
    </row>
    <row r="59" spans="1:12">
      <c r="A59" t="s">
        <v>208</v>
      </c>
      <c r="B59" t="s">
        <v>286</v>
      </c>
      <c r="C59" t="s">
        <v>210</v>
      </c>
      <c r="D59" t="s">
        <v>287</v>
      </c>
      <c r="E59" t="s">
        <v>288</v>
      </c>
      <c r="F59" t="s">
        <v>36</v>
      </c>
      <c r="G59" t="s">
        <v>289</v>
      </c>
      <c r="H59">
        <v>2278203</v>
      </c>
      <c r="I59" t="s">
        <v>290</v>
      </c>
      <c r="J59" s="14">
        <v>45292</v>
      </c>
      <c r="K59" t="s">
        <v>226</v>
      </c>
      <c r="L59" t="e">
        <f>VLOOKUP(H59,Sheet1!H:H,1,0)</f>
        <v>#N/A</v>
      </c>
    </row>
    <row r="60" spans="1:12">
      <c r="A60" t="s">
        <v>208</v>
      </c>
      <c r="B60" t="s">
        <v>209</v>
      </c>
      <c r="C60" t="s">
        <v>210</v>
      </c>
      <c r="D60" t="s">
        <v>211</v>
      </c>
      <c r="E60" t="s">
        <v>224</v>
      </c>
      <c r="F60" t="s">
        <v>36</v>
      </c>
      <c r="G60" t="s">
        <v>291</v>
      </c>
      <c r="H60">
        <v>1726803</v>
      </c>
      <c r="I60" t="s">
        <v>292</v>
      </c>
      <c r="J60" s="14">
        <v>42857</v>
      </c>
      <c r="K60" t="s">
        <v>226</v>
      </c>
      <c r="L60" t="e">
        <f>VLOOKUP(H60,Sheet1!H:H,1,0)</f>
        <v>#N/A</v>
      </c>
    </row>
    <row r="61" spans="1:12">
      <c r="A61" t="s">
        <v>208</v>
      </c>
      <c r="B61" t="s">
        <v>293</v>
      </c>
      <c r="C61" t="s">
        <v>210</v>
      </c>
      <c r="D61" t="s">
        <v>287</v>
      </c>
      <c r="E61" t="s">
        <v>288</v>
      </c>
      <c r="F61" t="s">
        <v>36</v>
      </c>
      <c r="G61" t="s">
        <v>294</v>
      </c>
      <c r="H61">
        <v>2459703</v>
      </c>
      <c r="I61" t="s">
        <v>295</v>
      </c>
      <c r="J61" s="14">
        <v>45966</v>
      </c>
      <c r="K61" t="s">
        <v>226</v>
      </c>
      <c r="L61" t="e">
        <f>VLOOKUP(H61,Sheet1!H:H,1,0)</f>
        <v>#N/A</v>
      </c>
    </row>
    <row r="62" spans="1:12">
      <c r="A62" t="s">
        <v>208</v>
      </c>
      <c r="B62" t="s">
        <v>209</v>
      </c>
      <c r="C62" t="s">
        <v>210</v>
      </c>
      <c r="D62" t="s">
        <v>287</v>
      </c>
      <c r="E62" t="s">
        <v>288</v>
      </c>
      <c r="F62" t="s">
        <v>36</v>
      </c>
      <c r="G62" t="s">
        <v>296</v>
      </c>
      <c r="H62">
        <v>1670303</v>
      </c>
      <c r="I62" t="s">
        <v>297</v>
      </c>
      <c r="J62" s="14">
        <v>45803</v>
      </c>
      <c r="K62" t="s">
        <v>226</v>
      </c>
      <c r="L62" t="e">
        <f>VLOOKUP(H62,Sheet1!H:H,1,0)</f>
        <v>#N/A</v>
      </c>
    </row>
    <row r="63" spans="1:12">
      <c r="A63" t="s">
        <v>208</v>
      </c>
      <c r="B63" t="s">
        <v>274</v>
      </c>
      <c r="C63" t="s">
        <v>210</v>
      </c>
      <c r="D63" t="s">
        <v>287</v>
      </c>
      <c r="E63" t="s">
        <v>275</v>
      </c>
      <c r="F63" t="s">
        <v>36</v>
      </c>
      <c r="G63" t="s">
        <v>298</v>
      </c>
      <c r="H63">
        <v>1641903</v>
      </c>
      <c r="I63" t="s">
        <v>299</v>
      </c>
      <c r="J63" s="14">
        <v>42535</v>
      </c>
      <c r="K63" t="s">
        <v>278</v>
      </c>
      <c r="L63" t="e">
        <f>VLOOKUP(H63,Sheet1!H:H,1,0)</f>
        <v>#N/A</v>
      </c>
    </row>
    <row r="64" spans="1:12">
      <c r="A64" t="s">
        <v>208</v>
      </c>
      <c r="B64" t="s">
        <v>209</v>
      </c>
      <c r="C64" t="s">
        <v>210</v>
      </c>
      <c r="D64" t="s">
        <v>287</v>
      </c>
      <c r="E64" t="s">
        <v>288</v>
      </c>
      <c r="F64" t="s">
        <v>36</v>
      </c>
      <c r="G64" t="s">
        <v>300</v>
      </c>
      <c r="H64">
        <v>2193703</v>
      </c>
      <c r="I64" t="s">
        <v>301</v>
      </c>
      <c r="J64" s="14">
        <v>44998</v>
      </c>
      <c r="K64" t="s">
        <v>226</v>
      </c>
      <c r="L64" t="e">
        <f>VLOOKUP(H64,Sheet1!H:H,1,0)</f>
        <v>#N/A</v>
      </c>
    </row>
    <row r="65" spans="1:12">
      <c r="A65" t="s">
        <v>208</v>
      </c>
      <c r="B65" t="s">
        <v>209</v>
      </c>
      <c r="C65" t="s">
        <v>210</v>
      </c>
      <c r="D65" t="s">
        <v>287</v>
      </c>
      <c r="E65" t="s">
        <v>288</v>
      </c>
      <c r="F65" t="s">
        <v>36</v>
      </c>
      <c r="G65" t="s">
        <v>302</v>
      </c>
      <c r="H65">
        <v>2425403</v>
      </c>
      <c r="I65" t="s">
        <v>303</v>
      </c>
      <c r="J65" s="14">
        <v>45901</v>
      </c>
      <c r="K65" t="s">
        <v>226</v>
      </c>
      <c r="L65" t="e">
        <f>VLOOKUP(H65,Sheet1!H:H,1,0)</f>
        <v>#N/A</v>
      </c>
    </row>
    <row r="66" spans="1:12">
      <c r="A66" t="s">
        <v>208</v>
      </c>
      <c r="B66" t="s">
        <v>293</v>
      </c>
      <c r="C66" t="s">
        <v>210</v>
      </c>
      <c r="D66" t="s">
        <v>287</v>
      </c>
      <c r="E66" t="s">
        <v>288</v>
      </c>
      <c r="F66" t="s">
        <v>36</v>
      </c>
      <c r="G66" t="s">
        <v>304</v>
      </c>
      <c r="H66">
        <v>2021603</v>
      </c>
      <c r="I66" t="s">
        <v>305</v>
      </c>
      <c r="J66" s="14">
        <v>44348</v>
      </c>
      <c r="K66" t="s">
        <v>226</v>
      </c>
      <c r="L66" t="e">
        <f>VLOOKUP(H66,Sheet1!H:H,1,0)</f>
        <v>#N/A</v>
      </c>
    </row>
    <row r="67" spans="1:12">
      <c r="A67" t="s">
        <v>208</v>
      </c>
      <c r="B67" t="s">
        <v>293</v>
      </c>
      <c r="C67" t="s">
        <v>210</v>
      </c>
      <c r="D67" t="s">
        <v>287</v>
      </c>
      <c r="E67" t="s">
        <v>306</v>
      </c>
      <c r="F67" t="s">
        <v>36</v>
      </c>
      <c r="G67" t="s">
        <v>307</v>
      </c>
      <c r="H67">
        <v>2124103</v>
      </c>
      <c r="I67" t="s">
        <v>308</v>
      </c>
      <c r="J67" s="14">
        <v>44760</v>
      </c>
      <c r="K67" t="s">
        <v>309</v>
      </c>
      <c r="L67" t="e">
        <f>VLOOKUP(H67,Sheet1!H:H,1,0)</f>
        <v>#N/A</v>
      </c>
    </row>
    <row r="68" spans="1:12">
      <c r="A68" t="s">
        <v>208</v>
      </c>
      <c r="B68" t="s">
        <v>286</v>
      </c>
      <c r="C68" t="s">
        <v>210</v>
      </c>
      <c r="D68" t="s">
        <v>287</v>
      </c>
      <c r="E68" t="s">
        <v>310</v>
      </c>
      <c r="F68" t="s">
        <v>36</v>
      </c>
      <c r="G68" t="s">
        <v>311</v>
      </c>
      <c r="H68">
        <v>1777003</v>
      </c>
      <c r="I68" t="s">
        <v>308</v>
      </c>
      <c r="J68" s="14">
        <v>44075</v>
      </c>
      <c r="K68" t="s">
        <v>309</v>
      </c>
      <c r="L68" t="e">
        <f>VLOOKUP(H68,Sheet1!H:H,1,0)</f>
        <v>#N/A</v>
      </c>
    </row>
    <row r="69" spans="1:12">
      <c r="A69" t="s">
        <v>208</v>
      </c>
      <c r="B69" t="s">
        <v>274</v>
      </c>
      <c r="C69" t="s">
        <v>210</v>
      </c>
      <c r="D69" t="s">
        <v>287</v>
      </c>
      <c r="E69" t="s">
        <v>224</v>
      </c>
      <c r="F69" t="s">
        <v>36</v>
      </c>
      <c r="G69" t="s">
        <v>312</v>
      </c>
      <c r="H69">
        <v>1720503</v>
      </c>
      <c r="I69" t="s">
        <v>313</v>
      </c>
      <c r="J69" s="14">
        <v>42828</v>
      </c>
      <c r="K69" t="s">
        <v>226</v>
      </c>
      <c r="L69" t="e">
        <f>VLOOKUP(H69,Sheet1!H:H,1,0)</f>
        <v>#N/A</v>
      </c>
    </row>
    <row r="70" spans="1:12">
      <c r="A70" t="s">
        <v>208</v>
      </c>
      <c r="B70" t="s">
        <v>286</v>
      </c>
      <c r="C70" t="s">
        <v>210</v>
      </c>
      <c r="D70" t="s">
        <v>287</v>
      </c>
      <c r="E70" t="s">
        <v>310</v>
      </c>
      <c r="F70" t="s">
        <v>36</v>
      </c>
      <c r="G70" t="s">
        <v>314</v>
      </c>
      <c r="H70">
        <v>2142503</v>
      </c>
      <c r="I70" t="s">
        <v>308</v>
      </c>
      <c r="J70" s="14">
        <v>44958</v>
      </c>
      <c r="K70" t="s">
        <v>309</v>
      </c>
      <c r="L70" t="e">
        <f>VLOOKUP(H70,Sheet1!H:H,1,0)</f>
        <v>#N/A</v>
      </c>
    </row>
    <row r="71" spans="1:12">
      <c r="A71" t="s">
        <v>208</v>
      </c>
      <c r="B71" t="s">
        <v>286</v>
      </c>
      <c r="C71" t="s">
        <v>210</v>
      </c>
      <c r="D71" t="s">
        <v>287</v>
      </c>
      <c r="E71" t="s">
        <v>306</v>
      </c>
      <c r="F71" t="s">
        <v>36</v>
      </c>
      <c r="G71" t="s">
        <v>315</v>
      </c>
      <c r="H71">
        <v>2295403</v>
      </c>
      <c r="I71" t="s">
        <v>316</v>
      </c>
      <c r="J71" s="14">
        <v>45398</v>
      </c>
      <c r="K71" t="s">
        <v>309</v>
      </c>
      <c r="L71" t="e">
        <f>VLOOKUP(H71,Sheet1!H:H,1,0)</f>
        <v>#N/A</v>
      </c>
    </row>
    <row r="72" spans="1:12">
      <c r="A72" t="s">
        <v>208</v>
      </c>
      <c r="B72" t="s">
        <v>293</v>
      </c>
      <c r="C72" t="s">
        <v>210</v>
      </c>
      <c r="D72" t="s">
        <v>287</v>
      </c>
      <c r="E72" t="s">
        <v>288</v>
      </c>
      <c r="F72" t="s">
        <v>36</v>
      </c>
      <c r="G72" t="s">
        <v>317</v>
      </c>
      <c r="H72">
        <v>2397603</v>
      </c>
      <c r="I72" t="s">
        <v>318</v>
      </c>
      <c r="J72" s="14">
        <v>45755</v>
      </c>
      <c r="K72" t="s">
        <v>226</v>
      </c>
      <c r="L72" t="e">
        <f>VLOOKUP(H72,Sheet1!H:H,1,0)</f>
        <v>#N/A</v>
      </c>
    </row>
    <row r="73" spans="1:12">
      <c r="A73" t="s">
        <v>208</v>
      </c>
      <c r="B73" t="s">
        <v>293</v>
      </c>
      <c r="C73" t="s">
        <v>210</v>
      </c>
      <c r="D73" t="s">
        <v>287</v>
      </c>
      <c r="E73" t="s">
        <v>306</v>
      </c>
      <c r="F73" t="s">
        <v>36</v>
      </c>
      <c r="G73" t="s">
        <v>319</v>
      </c>
      <c r="H73">
        <v>2403103</v>
      </c>
      <c r="I73" t="s">
        <v>316</v>
      </c>
      <c r="J73" s="14">
        <v>45777</v>
      </c>
      <c r="K73" t="s">
        <v>309</v>
      </c>
      <c r="L73" t="e">
        <f>VLOOKUP(H73,Sheet1!H:H,1,0)</f>
        <v>#N/A</v>
      </c>
    </row>
    <row r="74" spans="1:12">
      <c r="A74" t="s">
        <v>208</v>
      </c>
      <c r="B74" t="s">
        <v>286</v>
      </c>
      <c r="C74" t="s">
        <v>210</v>
      </c>
      <c r="D74" t="s">
        <v>287</v>
      </c>
      <c r="E74" t="s">
        <v>224</v>
      </c>
      <c r="F74" t="s">
        <v>36</v>
      </c>
      <c r="G74" t="s">
        <v>320</v>
      </c>
      <c r="H74">
        <v>1920903</v>
      </c>
      <c r="I74" t="s">
        <v>292</v>
      </c>
      <c r="J74" s="14">
        <v>43617</v>
      </c>
      <c r="K74" t="s">
        <v>226</v>
      </c>
      <c r="L74" t="e">
        <f>VLOOKUP(H74,Sheet1!H:H,1,0)</f>
        <v>#N/A</v>
      </c>
    </row>
    <row r="75" spans="1:12">
      <c r="A75" t="s">
        <v>208</v>
      </c>
      <c r="B75" t="s">
        <v>293</v>
      </c>
      <c r="C75" t="s">
        <v>210</v>
      </c>
      <c r="D75" t="s">
        <v>287</v>
      </c>
      <c r="E75" t="s">
        <v>288</v>
      </c>
      <c r="F75" t="s">
        <v>36</v>
      </c>
      <c r="G75" t="s">
        <v>321</v>
      </c>
      <c r="H75">
        <v>1560403</v>
      </c>
      <c r="I75" t="s">
        <v>297</v>
      </c>
      <c r="J75" s="14">
        <v>44424</v>
      </c>
      <c r="K75" t="s">
        <v>226</v>
      </c>
      <c r="L75" t="e">
        <f>VLOOKUP(H75,Sheet1!H:H,1,0)</f>
        <v>#N/A</v>
      </c>
    </row>
    <row r="76" spans="1:12">
      <c r="A76" t="s">
        <v>208</v>
      </c>
      <c r="B76" t="s">
        <v>293</v>
      </c>
      <c r="C76" t="s">
        <v>210</v>
      </c>
      <c r="D76" t="s">
        <v>287</v>
      </c>
      <c r="E76" t="s">
        <v>310</v>
      </c>
      <c r="F76" t="s">
        <v>36</v>
      </c>
      <c r="G76" t="s">
        <v>322</v>
      </c>
      <c r="H76">
        <v>2315603</v>
      </c>
      <c r="I76" t="s">
        <v>323</v>
      </c>
      <c r="J76" s="14">
        <v>45464</v>
      </c>
      <c r="K76" t="s">
        <v>309</v>
      </c>
      <c r="L76" t="e">
        <f>VLOOKUP(H76,Sheet1!H:H,1,0)</f>
        <v>#N/A</v>
      </c>
    </row>
    <row r="77" spans="1:12">
      <c r="A77" t="s">
        <v>208</v>
      </c>
      <c r="B77" t="s">
        <v>324</v>
      </c>
      <c r="C77" t="s">
        <v>210</v>
      </c>
      <c r="D77" t="s">
        <v>287</v>
      </c>
      <c r="E77" t="s">
        <v>224</v>
      </c>
      <c r="F77" t="s">
        <v>36</v>
      </c>
      <c r="G77" t="s">
        <v>325</v>
      </c>
      <c r="H77">
        <v>1020603</v>
      </c>
      <c r="I77" t="s">
        <v>326</v>
      </c>
      <c r="J77" s="14">
        <v>39276</v>
      </c>
      <c r="K77" t="s">
        <v>226</v>
      </c>
      <c r="L77" t="e">
        <f>VLOOKUP(H77,Sheet1!H:H,1,0)</f>
        <v>#N/A</v>
      </c>
    </row>
    <row r="78" spans="1:12">
      <c r="A78" t="s">
        <v>208</v>
      </c>
      <c r="B78" t="s">
        <v>327</v>
      </c>
      <c r="C78" t="s">
        <v>210</v>
      </c>
      <c r="D78" t="s">
        <v>211</v>
      </c>
      <c r="E78" t="s">
        <v>328</v>
      </c>
      <c r="F78" t="s">
        <v>329</v>
      </c>
      <c r="G78" t="s">
        <v>330</v>
      </c>
      <c r="H78">
        <v>2168803</v>
      </c>
      <c r="I78" t="s">
        <v>214</v>
      </c>
      <c r="J78" s="14">
        <v>44986</v>
      </c>
      <c r="K78" t="s">
        <v>331</v>
      </c>
      <c r="L78" t="e">
        <f>VLOOKUP(H78,Sheet1!H:H,1,0)</f>
        <v>#N/A</v>
      </c>
    </row>
    <row r="79" spans="1:12">
      <c r="A79" t="s">
        <v>208</v>
      </c>
      <c r="B79" t="s">
        <v>327</v>
      </c>
      <c r="C79" t="s">
        <v>210</v>
      </c>
      <c r="D79" t="s">
        <v>211</v>
      </c>
      <c r="E79" t="s">
        <v>328</v>
      </c>
      <c r="F79" t="s">
        <v>329</v>
      </c>
      <c r="G79" t="s">
        <v>332</v>
      </c>
      <c r="H79">
        <v>2099303</v>
      </c>
      <c r="I79" t="s">
        <v>333</v>
      </c>
      <c r="J79" s="14">
        <v>44835</v>
      </c>
      <c r="K79" t="s">
        <v>331</v>
      </c>
      <c r="L79" t="e">
        <f>VLOOKUP(H79,Sheet1!H:H,1,0)</f>
        <v>#N/A</v>
      </c>
    </row>
    <row r="80" spans="1:12">
      <c r="A80" t="s">
        <v>208</v>
      </c>
      <c r="B80" t="s">
        <v>327</v>
      </c>
      <c r="C80" t="s">
        <v>210</v>
      </c>
      <c r="D80" t="s">
        <v>211</v>
      </c>
      <c r="E80" t="s">
        <v>224</v>
      </c>
      <c r="F80" t="s">
        <v>329</v>
      </c>
      <c r="G80" t="s">
        <v>331</v>
      </c>
      <c r="H80">
        <v>1898903</v>
      </c>
      <c r="I80" t="s">
        <v>225</v>
      </c>
      <c r="J80" s="14">
        <v>43482</v>
      </c>
      <c r="K80" t="s">
        <v>226</v>
      </c>
      <c r="L80" t="e">
        <f>VLOOKUP(H80,Sheet1!H:H,1,0)</f>
        <v>#N/A</v>
      </c>
    </row>
    <row r="81" spans="1:12">
      <c r="A81" t="s">
        <v>208</v>
      </c>
      <c r="B81" t="s">
        <v>327</v>
      </c>
      <c r="C81" t="s">
        <v>210</v>
      </c>
      <c r="D81" t="s">
        <v>211</v>
      </c>
      <c r="E81" t="s">
        <v>328</v>
      </c>
      <c r="F81" t="s">
        <v>329</v>
      </c>
      <c r="G81" t="s">
        <v>334</v>
      </c>
      <c r="H81">
        <v>2370503</v>
      </c>
      <c r="I81" t="s">
        <v>214</v>
      </c>
      <c r="J81" s="14">
        <v>45717</v>
      </c>
      <c r="K81" t="s">
        <v>331</v>
      </c>
      <c r="L81" t="e">
        <f>VLOOKUP(H81,Sheet1!H:H,1,0)</f>
        <v>#N/A</v>
      </c>
    </row>
    <row r="82" spans="1:12">
      <c r="A82" t="s">
        <v>208</v>
      </c>
      <c r="B82" t="s">
        <v>327</v>
      </c>
      <c r="C82" t="s">
        <v>210</v>
      </c>
      <c r="D82" t="s">
        <v>211</v>
      </c>
      <c r="E82" t="s">
        <v>328</v>
      </c>
      <c r="F82" t="s">
        <v>329</v>
      </c>
      <c r="G82" t="s">
        <v>335</v>
      </c>
      <c r="H82">
        <v>2154003</v>
      </c>
      <c r="I82" t="s">
        <v>214</v>
      </c>
      <c r="J82" s="14">
        <v>45068</v>
      </c>
      <c r="K82" t="s">
        <v>331</v>
      </c>
      <c r="L82" t="e">
        <f>VLOOKUP(H82,Sheet1!H:H,1,0)</f>
        <v>#N/A</v>
      </c>
    </row>
    <row r="83" spans="1:12">
      <c r="A83" t="s">
        <v>208</v>
      </c>
      <c r="B83" t="s">
        <v>286</v>
      </c>
      <c r="C83" t="s">
        <v>210</v>
      </c>
      <c r="D83" t="s">
        <v>211</v>
      </c>
      <c r="E83" t="s">
        <v>336</v>
      </c>
      <c r="F83" t="s">
        <v>337</v>
      </c>
      <c r="G83" t="s">
        <v>338</v>
      </c>
      <c r="H83">
        <v>2411603</v>
      </c>
      <c r="I83" t="s">
        <v>214</v>
      </c>
      <c r="J83" s="14">
        <v>45870</v>
      </c>
      <c r="K83" t="s">
        <v>339</v>
      </c>
      <c r="L83" t="e">
        <f>VLOOKUP(H83,Sheet1!H:H,1,0)</f>
        <v>#N/A</v>
      </c>
    </row>
    <row r="84" spans="1:12">
      <c r="A84" t="s">
        <v>208</v>
      </c>
      <c r="B84" t="s">
        <v>286</v>
      </c>
      <c r="C84" t="s">
        <v>210</v>
      </c>
      <c r="D84" t="s">
        <v>211</v>
      </c>
      <c r="E84" t="s">
        <v>336</v>
      </c>
      <c r="F84" t="s">
        <v>337</v>
      </c>
      <c r="G84" t="s">
        <v>340</v>
      </c>
      <c r="H84">
        <v>2162603</v>
      </c>
      <c r="I84" t="s">
        <v>222</v>
      </c>
      <c r="J84" s="14">
        <v>44973</v>
      </c>
      <c r="K84" t="s">
        <v>339</v>
      </c>
      <c r="L84" t="e">
        <f>VLOOKUP(H84,Sheet1!H:H,1,0)</f>
        <v>#N/A</v>
      </c>
    </row>
    <row r="85" spans="1:12">
      <c r="A85" t="s">
        <v>208</v>
      </c>
      <c r="B85" t="s">
        <v>286</v>
      </c>
      <c r="C85" t="s">
        <v>210</v>
      </c>
      <c r="D85" t="s">
        <v>211</v>
      </c>
      <c r="E85" t="s">
        <v>336</v>
      </c>
      <c r="F85" t="s">
        <v>337</v>
      </c>
      <c r="G85" t="s">
        <v>341</v>
      </c>
      <c r="H85">
        <v>2478003</v>
      </c>
      <c r="I85" t="s">
        <v>214</v>
      </c>
      <c r="J85" s="14">
        <v>46023</v>
      </c>
      <c r="K85" t="s">
        <v>339</v>
      </c>
      <c r="L85" t="e">
        <f>VLOOKUP(H85,Sheet1!H:H,1,0)</f>
        <v>#N/A</v>
      </c>
    </row>
    <row r="86" spans="1:12">
      <c r="A86" t="s">
        <v>208</v>
      </c>
      <c r="B86" t="s">
        <v>286</v>
      </c>
      <c r="C86" t="s">
        <v>210</v>
      </c>
      <c r="D86" t="s">
        <v>211</v>
      </c>
      <c r="E86" t="s">
        <v>336</v>
      </c>
      <c r="F86" t="s">
        <v>337</v>
      </c>
      <c r="G86" t="s">
        <v>342</v>
      </c>
      <c r="H86">
        <v>2442503</v>
      </c>
      <c r="I86" t="s">
        <v>214</v>
      </c>
      <c r="J86" s="14">
        <v>46023</v>
      </c>
      <c r="K86" t="s">
        <v>339</v>
      </c>
      <c r="L86" t="e">
        <f>VLOOKUP(H86,Sheet1!H:H,1,0)</f>
        <v>#N/A</v>
      </c>
    </row>
    <row r="87" spans="1:12">
      <c r="A87" t="s">
        <v>208</v>
      </c>
      <c r="B87" t="s">
        <v>286</v>
      </c>
      <c r="C87" t="s">
        <v>210</v>
      </c>
      <c r="D87" t="s">
        <v>211</v>
      </c>
      <c r="E87" t="s">
        <v>336</v>
      </c>
      <c r="F87" t="s">
        <v>337</v>
      </c>
      <c r="G87" t="s">
        <v>343</v>
      </c>
      <c r="H87">
        <v>2246303</v>
      </c>
      <c r="I87" t="s">
        <v>214</v>
      </c>
      <c r="J87" s="14">
        <v>45323</v>
      </c>
      <c r="K87" t="s">
        <v>339</v>
      </c>
      <c r="L87" t="e">
        <f>VLOOKUP(H87,Sheet1!H:H,1,0)</f>
        <v>#N/A</v>
      </c>
    </row>
    <row r="88" spans="1:12">
      <c r="A88" t="s">
        <v>208</v>
      </c>
      <c r="B88" t="s">
        <v>286</v>
      </c>
      <c r="C88" t="s">
        <v>210</v>
      </c>
      <c r="D88" t="s">
        <v>211</v>
      </c>
      <c r="E88" t="s">
        <v>336</v>
      </c>
      <c r="F88" t="s">
        <v>337</v>
      </c>
      <c r="G88" t="s">
        <v>344</v>
      </c>
      <c r="H88">
        <v>2364203</v>
      </c>
      <c r="I88" t="s">
        <v>214</v>
      </c>
      <c r="J88" s="14">
        <v>45689</v>
      </c>
      <c r="K88" t="s">
        <v>339</v>
      </c>
      <c r="L88" t="e">
        <f>VLOOKUP(H88,Sheet1!H:H,1,0)</f>
        <v>#N/A</v>
      </c>
    </row>
    <row r="89" spans="1:12">
      <c r="A89" t="s">
        <v>208</v>
      </c>
      <c r="B89" t="s">
        <v>286</v>
      </c>
      <c r="C89" t="s">
        <v>210</v>
      </c>
      <c r="D89" t="s">
        <v>211</v>
      </c>
      <c r="E89" t="s">
        <v>224</v>
      </c>
      <c r="F89" t="s">
        <v>337</v>
      </c>
      <c r="G89" t="s">
        <v>339</v>
      </c>
      <c r="H89">
        <v>1603603</v>
      </c>
      <c r="I89" t="s">
        <v>225</v>
      </c>
      <c r="J89" s="14">
        <v>43662</v>
      </c>
      <c r="K89" t="s">
        <v>226</v>
      </c>
      <c r="L89" t="e">
        <f>VLOOKUP(H89,Sheet1!H:H,1,0)</f>
        <v>#N/A</v>
      </c>
    </row>
    <row r="90" spans="1:12">
      <c r="A90" t="s">
        <v>208</v>
      </c>
      <c r="B90" t="s">
        <v>286</v>
      </c>
      <c r="C90" t="s">
        <v>210</v>
      </c>
      <c r="D90" t="s">
        <v>211</v>
      </c>
      <c r="E90" t="s">
        <v>336</v>
      </c>
      <c r="F90" t="s">
        <v>337</v>
      </c>
      <c r="G90" t="s">
        <v>345</v>
      </c>
      <c r="H90">
        <v>2505203</v>
      </c>
      <c r="I90" t="s">
        <v>220</v>
      </c>
      <c r="J90" s="14">
        <v>46083</v>
      </c>
      <c r="K90" t="s">
        <v>339</v>
      </c>
      <c r="L90" t="e">
        <f>VLOOKUP(H90,Sheet1!H:H,1,0)</f>
        <v>#N/A</v>
      </c>
    </row>
    <row r="91" spans="1:12">
      <c r="A91" t="s">
        <v>208</v>
      </c>
      <c r="B91" t="s">
        <v>286</v>
      </c>
      <c r="C91" t="s">
        <v>210</v>
      </c>
      <c r="D91" t="s">
        <v>211</v>
      </c>
      <c r="E91" t="s">
        <v>336</v>
      </c>
      <c r="F91" t="s">
        <v>337</v>
      </c>
      <c r="G91" t="s">
        <v>346</v>
      </c>
      <c r="H91">
        <v>2410903</v>
      </c>
      <c r="I91" t="s">
        <v>214</v>
      </c>
      <c r="J91" s="14">
        <v>45870</v>
      </c>
      <c r="K91" t="s">
        <v>339</v>
      </c>
      <c r="L91" t="e">
        <f>VLOOKUP(H91,Sheet1!H:H,1,0)</f>
        <v>#N/A</v>
      </c>
    </row>
    <row r="92" spans="1:12">
      <c r="A92" t="s">
        <v>208</v>
      </c>
      <c r="B92" t="s">
        <v>286</v>
      </c>
      <c r="C92" t="s">
        <v>210</v>
      </c>
      <c r="D92" t="s">
        <v>211</v>
      </c>
      <c r="E92" t="s">
        <v>336</v>
      </c>
      <c r="F92" t="s">
        <v>337</v>
      </c>
      <c r="G92" t="s">
        <v>347</v>
      </c>
      <c r="H92">
        <v>2483503</v>
      </c>
      <c r="I92" t="s">
        <v>214</v>
      </c>
      <c r="J92" s="14">
        <v>46023</v>
      </c>
      <c r="K92" t="s">
        <v>339</v>
      </c>
      <c r="L92" t="e">
        <f>VLOOKUP(H92,Sheet1!H:H,1,0)</f>
        <v>#N/A</v>
      </c>
    </row>
    <row r="93" spans="1:12">
      <c r="A93" t="s">
        <v>208</v>
      </c>
      <c r="B93" t="s">
        <v>286</v>
      </c>
      <c r="C93" t="s">
        <v>210</v>
      </c>
      <c r="D93" t="s">
        <v>211</v>
      </c>
      <c r="E93" t="s">
        <v>336</v>
      </c>
      <c r="F93" t="s">
        <v>337</v>
      </c>
      <c r="G93" t="s">
        <v>348</v>
      </c>
      <c r="H93">
        <v>2476503</v>
      </c>
      <c r="I93" t="s">
        <v>214</v>
      </c>
      <c r="J93" s="14">
        <v>46023</v>
      </c>
      <c r="K93" t="s">
        <v>339</v>
      </c>
      <c r="L93" t="e">
        <f>VLOOKUP(H93,Sheet1!H:H,1,0)</f>
        <v>#N/A</v>
      </c>
    </row>
    <row r="94" spans="1:12">
      <c r="A94" t="s">
        <v>208</v>
      </c>
      <c r="B94" t="s">
        <v>286</v>
      </c>
      <c r="C94" t="s">
        <v>210</v>
      </c>
      <c r="D94" t="s">
        <v>211</v>
      </c>
      <c r="E94" t="s">
        <v>336</v>
      </c>
      <c r="F94" t="s">
        <v>337</v>
      </c>
      <c r="G94" t="s">
        <v>349</v>
      </c>
      <c r="H94">
        <v>2381903</v>
      </c>
      <c r="I94" t="s">
        <v>243</v>
      </c>
      <c r="J94" s="14">
        <v>45673</v>
      </c>
      <c r="K94" t="s">
        <v>339</v>
      </c>
      <c r="L94" t="e">
        <f>VLOOKUP(H94,Sheet1!H:H,1,0)</f>
        <v>#N/A</v>
      </c>
    </row>
    <row r="95" spans="1:12">
      <c r="A95" t="s">
        <v>208</v>
      </c>
      <c r="B95" t="s">
        <v>286</v>
      </c>
      <c r="C95" t="s">
        <v>210</v>
      </c>
      <c r="D95" t="s">
        <v>211</v>
      </c>
      <c r="E95" t="s">
        <v>336</v>
      </c>
      <c r="F95" t="s">
        <v>337</v>
      </c>
      <c r="G95" t="s">
        <v>350</v>
      </c>
      <c r="H95">
        <v>2369303</v>
      </c>
      <c r="I95" t="s">
        <v>214</v>
      </c>
      <c r="J95" s="14">
        <v>45689</v>
      </c>
      <c r="K95" t="s">
        <v>339</v>
      </c>
      <c r="L95" t="e">
        <f>VLOOKUP(H95,Sheet1!H:H,1,0)</f>
        <v>#N/A</v>
      </c>
    </row>
    <row r="96" spans="1:12">
      <c r="A96" t="s">
        <v>208</v>
      </c>
      <c r="B96" t="s">
        <v>286</v>
      </c>
      <c r="C96" t="s">
        <v>210</v>
      </c>
      <c r="D96" t="s">
        <v>211</v>
      </c>
      <c r="E96" t="s">
        <v>351</v>
      </c>
      <c r="F96" t="s">
        <v>352</v>
      </c>
      <c r="G96" t="s">
        <v>353</v>
      </c>
      <c r="H96">
        <v>2485503</v>
      </c>
      <c r="I96" t="s">
        <v>214</v>
      </c>
      <c r="J96" s="14">
        <v>46054</v>
      </c>
      <c r="K96" t="s">
        <v>354</v>
      </c>
      <c r="L96" t="e">
        <f>VLOOKUP(H96,Sheet1!H:H,1,0)</f>
        <v>#N/A</v>
      </c>
    </row>
    <row r="97" spans="1:12">
      <c r="A97" t="s">
        <v>208</v>
      </c>
      <c r="B97" t="s">
        <v>286</v>
      </c>
      <c r="C97" t="s">
        <v>210</v>
      </c>
      <c r="D97" t="s">
        <v>211</v>
      </c>
      <c r="E97" t="s">
        <v>351</v>
      </c>
      <c r="F97" t="s">
        <v>352</v>
      </c>
      <c r="G97" t="s">
        <v>355</v>
      </c>
      <c r="H97">
        <v>2368803</v>
      </c>
      <c r="I97" t="s">
        <v>214</v>
      </c>
      <c r="J97" s="14">
        <v>45673</v>
      </c>
      <c r="K97" t="s">
        <v>354</v>
      </c>
      <c r="L97" t="e">
        <f>VLOOKUP(H97,Sheet1!H:H,1,0)</f>
        <v>#N/A</v>
      </c>
    </row>
    <row r="98" spans="1:12">
      <c r="A98" t="s">
        <v>208</v>
      </c>
      <c r="B98" t="s">
        <v>286</v>
      </c>
      <c r="C98" t="s">
        <v>210</v>
      </c>
      <c r="D98" t="s">
        <v>211</v>
      </c>
      <c r="E98" t="s">
        <v>351</v>
      </c>
      <c r="F98" t="s">
        <v>352</v>
      </c>
      <c r="G98" t="s">
        <v>356</v>
      </c>
      <c r="H98">
        <v>1632803</v>
      </c>
      <c r="I98" t="s">
        <v>243</v>
      </c>
      <c r="J98" s="14">
        <v>42483</v>
      </c>
      <c r="K98" t="s">
        <v>354</v>
      </c>
      <c r="L98" t="e">
        <f>VLOOKUP(H98,Sheet1!H:H,1,0)</f>
        <v>#N/A</v>
      </c>
    </row>
    <row r="99" spans="1:12">
      <c r="A99" t="s">
        <v>208</v>
      </c>
      <c r="B99" t="s">
        <v>286</v>
      </c>
      <c r="C99" t="s">
        <v>210</v>
      </c>
      <c r="D99" t="s">
        <v>211</v>
      </c>
      <c r="E99" t="s">
        <v>351</v>
      </c>
      <c r="F99" t="s">
        <v>352</v>
      </c>
      <c r="G99" t="s">
        <v>357</v>
      </c>
      <c r="H99">
        <v>2443303</v>
      </c>
      <c r="I99" t="s">
        <v>214</v>
      </c>
      <c r="J99" s="14">
        <v>46023</v>
      </c>
      <c r="K99" t="s">
        <v>354</v>
      </c>
      <c r="L99" t="e">
        <f>VLOOKUP(H99,Sheet1!H:H,1,0)</f>
        <v>#N/A</v>
      </c>
    </row>
    <row r="100" spans="1:12">
      <c r="A100" t="s">
        <v>208</v>
      </c>
      <c r="B100" t="s">
        <v>286</v>
      </c>
      <c r="C100" t="s">
        <v>210</v>
      </c>
      <c r="D100" t="s">
        <v>211</v>
      </c>
      <c r="E100" t="s">
        <v>351</v>
      </c>
      <c r="F100" t="s">
        <v>352</v>
      </c>
      <c r="G100" t="s">
        <v>358</v>
      </c>
      <c r="H100">
        <v>2204103</v>
      </c>
      <c r="I100" t="s">
        <v>222</v>
      </c>
      <c r="J100" s="14">
        <v>45061</v>
      </c>
      <c r="K100" t="s">
        <v>354</v>
      </c>
      <c r="L100" t="e">
        <f>VLOOKUP(H100,Sheet1!H:H,1,0)</f>
        <v>#N/A</v>
      </c>
    </row>
    <row r="101" spans="1:12">
      <c r="A101" t="s">
        <v>208</v>
      </c>
      <c r="B101" t="s">
        <v>286</v>
      </c>
      <c r="C101" t="s">
        <v>210</v>
      </c>
      <c r="D101" t="s">
        <v>211</v>
      </c>
      <c r="E101" t="s">
        <v>351</v>
      </c>
      <c r="F101" t="s">
        <v>352</v>
      </c>
      <c r="G101" t="s">
        <v>354</v>
      </c>
      <c r="H101">
        <v>1718703</v>
      </c>
      <c r="I101" t="s">
        <v>225</v>
      </c>
      <c r="J101" s="14">
        <v>42814</v>
      </c>
      <c r="K101" t="s">
        <v>354</v>
      </c>
      <c r="L101" t="e">
        <f>VLOOKUP(H101,Sheet1!H:H,1,0)</f>
        <v>#N/A</v>
      </c>
    </row>
    <row r="102" spans="1:12">
      <c r="A102" t="s">
        <v>208</v>
      </c>
      <c r="B102" t="s">
        <v>286</v>
      </c>
      <c r="C102" t="s">
        <v>210</v>
      </c>
      <c r="D102" t="s">
        <v>211</v>
      </c>
      <c r="E102" t="s">
        <v>351</v>
      </c>
      <c r="F102" t="s">
        <v>352</v>
      </c>
      <c r="G102" t="s">
        <v>359</v>
      </c>
      <c r="H102">
        <v>2229603</v>
      </c>
      <c r="I102" t="s">
        <v>214</v>
      </c>
      <c r="J102" s="14">
        <v>45177</v>
      </c>
      <c r="K102" t="s">
        <v>354</v>
      </c>
      <c r="L102" t="e">
        <f>VLOOKUP(H102,Sheet1!H:H,1,0)</f>
        <v>#N/A</v>
      </c>
    </row>
    <row r="103" spans="1:12">
      <c r="A103" t="s">
        <v>208</v>
      </c>
      <c r="B103" t="s">
        <v>286</v>
      </c>
      <c r="C103" t="s">
        <v>210</v>
      </c>
      <c r="D103" t="s">
        <v>211</v>
      </c>
      <c r="E103" t="s">
        <v>351</v>
      </c>
      <c r="F103" t="s">
        <v>352</v>
      </c>
      <c r="G103" t="s">
        <v>360</v>
      </c>
      <c r="H103">
        <v>2291103</v>
      </c>
      <c r="I103" t="s">
        <v>214</v>
      </c>
      <c r="J103" s="14">
        <v>45352</v>
      </c>
      <c r="K103" t="s">
        <v>354</v>
      </c>
      <c r="L103" t="e">
        <f>VLOOKUP(H103,Sheet1!H:H,1,0)</f>
        <v>#N/A</v>
      </c>
    </row>
    <row r="104" spans="1:12">
      <c r="A104" t="s">
        <v>208</v>
      </c>
      <c r="B104" t="s">
        <v>286</v>
      </c>
      <c r="C104" t="s">
        <v>210</v>
      </c>
      <c r="D104" t="s">
        <v>211</v>
      </c>
      <c r="E104" t="s">
        <v>351</v>
      </c>
      <c r="F104" t="s">
        <v>352</v>
      </c>
      <c r="G104" t="s">
        <v>361</v>
      </c>
      <c r="H104">
        <v>2373803</v>
      </c>
      <c r="I104" t="s">
        <v>214</v>
      </c>
      <c r="J104" s="14">
        <v>45658</v>
      </c>
      <c r="K104" t="s">
        <v>354</v>
      </c>
      <c r="L104" t="e">
        <f>VLOOKUP(H104,Sheet1!H:H,1,0)</f>
        <v>#N/A</v>
      </c>
    </row>
    <row r="105" spans="1:12">
      <c r="A105" t="s">
        <v>208</v>
      </c>
      <c r="B105" t="s">
        <v>286</v>
      </c>
      <c r="C105" t="s">
        <v>210</v>
      </c>
      <c r="D105" t="s">
        <v>211</v>
      </c>
      <c r="E105" t="s">
        <v>351</v>
      </c>
      <c r="F105" t="s">
        <v>352</v>
      </c>
      <c r="G105" t="s">
        <v>362</v>
      </c>
      <c r="H105">
        <v>2314403</v>
      </c>
      <c r="I105" t="s">
        <v>214</v>
      </c>
      <c r="J105" s="14">
        <v>45505</v>
      </c>
      <c r="K105" t="s">
        <v>354</v>
      </c>
      <c r="L105" t="e">
        <f>VLOOKUP(H105,Sheet1!H:H,1,0)</f>
        <v>#N/A</v>
      </c>
    </row>
    <row r="106" spans="1:12">
      <c r="A106" t="s">
        <v>208</v>
      </c>
      <c r="B106" t="s">
        <v>286</v>
      </c>
      <c r="C106" t="s">
        <v>210</v>
      </c>
      <c r="D106" t="s">
        <v>211</v>
      </c>
      <c r="E106" t="s">
        <v>351</v>
      </c>
      <c r="F106" t="s">
        <v>352</v>
      </c>
      <c r="G106" t="s">
        <v>363</v>
      </c>
      <c r="H106">
        <v>2508603</v>
      </c>
      <c r="I106" t="s">
        <v>220</v>
      </c>
      <c r="J106" s="14">
        <v>46094</v>
      </c>
      <c r="K106" t="s">
        <v>354</v>
      </c>
      <c r="L106" t="e">
        <f>VLOOKUP(H106,Sheet1!H:H,1,0)</f>
        <v>#N/A</v>
      </c>
    </row>
    <row r="107" spans="1:12">
      <c r="A107" t="s">
        <v>208</v>
      </c>
      <c r="B107" t="s">
        <v>286</v>
      </c>
      <c r="C107" t="s">
        <v>210</v>
      </c>
      <c r="D107" t="s">
        <v>211</v>
      </c>
      <c r="E107" t="s">
        <v>351</v>
      </c>
      <c r="F107" t="s">
        <v>352</v>
      </c>
      <c r="G107" t="s">
        <v>364</v>
      </c>
      <c r="H107">
        <v>2251903</v>
      </c>
      <c r="I107" t="s">
        <v>214</v>
      </c>
      <c r="J107" s="14">
        <v>45338</v>
      </c>
      <c r="K107" t="s">
        <v>354</v>
      </c>
      <c r="L107" t="e">
        <f>VLOOKUP(H107,Sheet1!H:H,1,0)</f>
        <v>#N/A</v>
      </c>
    </row>
    <row r="108" spans="1:12">
      <c r="A108" t="s">
        <v>208</v>
      </c>
      <c r="B108" t="s">
        <v>286</v>
      </c>
      <c r="C108" t="s">
        <v>210</v>
      </c>
      <c r="D108" t="s">
        <v>211</v>
      </c>
      <c r="E108" t="s">
        <v>351</v>
      </c>
      <c r="F108" t="s">
        <v>352</v>
      </c>
      <c r="G108" t="s">
        <v>365</v>
      </c>
      <c r="H108">
        <v>2222403</v>
      </c>
      <c r="I108" t="s">
        <v>214</v>
      </c>
      <c r="J108" s="14">
        <v>45143</v>
      </c>
      <c r="K108" t="s">
        <v>354</v>
      </c>
      <c r="L108" t="e">
        <f>VLOOKUP(H108,Sheet1!H:H,1,0)</f>
        <v>#N/A</v>
      </c>
    </row>
    <row r="109" spans="1:12">
      <c r="A109" t="s">
        <v>208</v>
      </c>
      <c r="B109" t="s">
        <v>286</v>
      </c>
      <c r="C109" t="s">
        <v>210</v>
      </c>
      <c r="D109" t="s">
        <v>211</v>
      </c>
      <c r="E109" t="s">
        <v>351</v>
      </c>
      <c r="F109" t="s">
        <v>352</v>
      </c>
      <c r="G109" t="s">
        <v>366</v>
      </c>
      <c r="H109">
        <v>2362403</v>
      </c>
      <c r="I109" t="s">
        <v>214</v>
      </c>
      <c r="J109" s="14">
        <v>46023</v>
      </c>
      <c r="K109" t="s">
        <v>354</v>
      </c>
      <c r="L109" t="e">
        <f>VLOOKUP(H109,Sheet1!H:H,1,0)</f>
        <v>#N/A</v>
      </c>
    </row>
    <row r="110" spans="1:12">
      <c r="A110" t="s">
        <v>208</v>
      </c>
      <c r="B110" t="s">
        <v>286</v>
      </c>
      <c r="C110" t="s">
        <v>210</v>
      </c>
      <c r="D110" t="s">
        <v>211</v>
      </c>
      <c r="E110" t="s">
        <v>351</v>
      </c>
      <c r="F110" t="s">
        <v>352</v>
      </c>
      <c r="G110" t="s">
        <v>367</v>
      </c>
      <c r="H110">
        <v>2371103</v>
      </c>
      <c r="I110" t="s">
        <v>220</v>
      </c>
      <c r="J110" s="14">
        <v>45689</v>
      </c>
      <c r="K110" t="s">
        <v>354</v>
      </c>
      <c r="L110" t="e">
        <f>VLOOKUP(H110,Sheet1!H:H,1,0)</f>
        <v>#N/A</v>
      </c>
    </row>
    <row r="111" spans="1:12">
      <c r="A111" t="s">
        <v>208</v>
      </c>
      <c r="B111" t="s">
        <v>286</v>
      </c>
      <c r="C111" t="s">
        <v>210</v>
      </c>
      <c r="D111" t="s">
        <v>211</v>
      </c>
      <c r="E111" t="s">
        <v>351</v>
      </c>
      <c r="F111" t="s">
        <v>352</v>
      </c>
      <c r="G111" t="s">
        <v>368</v>
      </c>
      <c r="H111">
        <v>2486003</v>
      </c>
      <c r="I111" t="s">
        <v>214</v>
      </c>
      <c r="J111" s="14">
        <v>46054</v>
      </c>
      <c r="K111" t="s">
        <v>354</v>
      </c>
      <c r="L111" t="e">
        <f>VLOOKUP(H111,Sheet1!H:H,1,0)</f>
        <v>#N/A</v>
      </c>
    </row>
    <row r="112" spans="1:12">
      <c r="A112" t="s">
        <v>208</v>
      </c>
      <c r="B112" t="s">
        <v>286</v>
      </c>
      <c r="C112" t="s">
        <v>210</v>
      </c>
      <c r="D112" t="s">
        <v>211</v>
      </c>
      <c r="E112" t="s">
        <v>351</v>
      </c>
      <c r="F112" t="s">
        <v>352</v>
      </c>
      <c r="G112" t="s">
        <v>369</v>
      </c>
      <c r="H112">
        <v>2163603</v>
      </c>
      <c r="I112" t="s">
        <v>214</v>
      </c>
      <c r="J112" s="14">
        <v>44956</v>
      </c>
      <c r="K112" t="s">
        <v>354</v>
      </c>
      <c r="L112" t="e">
        <f>VLOOKUP(H112,Sheet1!H:H,1,0)</f>
        <v>#N/A</v>
      </c>
    </row>
    <row r="113" spans="1:12">
      <c r="A113" t="s">
        <v>208</v>
      </c>
      <c r="B113" t="s">
        <v>286</v>
      </c>
      <c r="C113" t="s">
        <v>210</v>
      </c>
      <c r="D113" t="s">
        <v>211</v>
      </c>
      <c r="E113" t="s">
        <v>351</v>
      </c>
      <c r="F113" t="s">
        <v>352</v>
      </c>
      <c r="G113" t="s">
        <v>370</v>
      </c>
      <c r="H113">
        <v>2443603</v>
      </c>
      <c r="I113" t="s">
        <v>214</v>
      </c>
      <c r="J113" s="14">
        <v>46023</v>
      </c>
      <c r="K113" t="s">
        <v>354</v>
      </c>
      <c r="L113" t="e">
        <f>VLOOKUP(H113,Sheet1!H:H,1,0)</f>
        <v>#N/A</v>
      </c>
    </row>
    <row r="114" spans="1:12">
      <c r="A114" t="s">
        <v>208</v>
      </c>
      <c r="B114" t="s">
        <v>286</v>
      </c>
      <c r="C114" t="s">
        <v>210</v>
      </c>
      <c r="D114" t="s">
        <v>211</v>
      </c>
      <c r="E114" t="s">
        <v>351</v>
      </c>
      <c r="F114" t="s">
        <v>352</v>
      </c>
      <c r="G114" t="s">
        <v>371</v>
      </c>
      <c r="H114">
        <v>2394703</v>
      </c>
      <c r="I114" t="s">
        <v>214</v>
      </c>
      <c r="J114" s="14">
        <v>45735</v>
      </c>
      <c r="K114" t="s">
        <v>354</v>
      </c>
      <c r="L114" t="e">
        <f>VLOOKUP(H114,Sheet1!H:H,1,0)</f>
        <v>#N/A</v>
      </c>
    </row>
    <row r="115" spans="1:12">
      <c r="A115" t="s">
        <v>208</v>
      </c>
      <c r="B115" t="s">
        <v>286</v>
      </c>
      <c r="C115" t="s">
        <v>210</v>
      </c>
      <c r="D115" t="s">
        <v>211</v>
      </c>
      <c r="E115" t="s">
        <v>351</v>
      </c>
      <c r="F115" t="s">
        <v>352</v>
      </c>
      <c r="G115" t="s">
        <v>372</v>
      </c>
      <c r="H115">
        <v>2481203</v>
      </c>
      <c r="I115" t="s">
        <v>214</v>
      </c>
      <c r="J115" s="14">
        <v>46023</v>
      </c>
      <c r="K115" t="s">
        <v>354</v>
      </c>
      <c r="L115" t="e">
        <f>VLOOKUP(H115,Sheet1!H:H,1,0)</f>
        <v>#N/A</v>
      </c>
    </row>
    <row r="116" spans="1:12">
      <c r="A116" t="s">
        <v>208</v>
      </c>
      <c r="B116" t="s">
        <v>293</v>
      </c>
      <c r="C116" t="s">
        <v>210</v>
      </c>
      <c r="D116" t="s">
        <v>211</v>
      </c>
      <c r="E116" t="s">
        <v>373</v>
      </c>
      <c r="F116" t="s">
        <v>374</v>
      </c>
      <c r="G116" t="s">
        <v>375</v>
      </c>
      <c r="H116">
        <v>2265303</v>
      </c>
      <c r="I116" t="s">
        <v>220</v>
      </c>
      <c r="J116" s="14">
        <v>45323</v>
      </c>
      <c r="K116" t="s">
        <v>376</v>
      </c>
      <c r="L116" t="e">
        <f>VLOOKUP(H116,Sheet1!H:H,1,0)</f>
        <v>#N/A</v>
      </c>
    </row>
    <row r="117" spans="1:12">
      <c r="A117" t="s">
        <v>208</v>
      </c>
      <c r="B117" t="s">
        <v>293</v>
      </c>
      <c r="C117" t="s">
        <v>210</v>
      </c>
      <c r="D117" t="s">
        <v>211</v>
      </c>
      <c r="E117" t="s">
        <v>373</v>
      </c>
      <c r="F117" t="s">
        <v>374</v>
      </c>
      <c r="G117" t="s">
        <v>377</v>
      </c>
      <c r="H117">
        <v>2505103</v>
      </c>
      <c r="I117" t="s">
        <v>214</v>
      </c>
      <c r="J117" s="14">
        <v>46080</v>
      </c>
      <c r="K117" t="s">
        <v>376</v>
      </c>
      <c r="L117" t="e">
        <f>VLOOKUP(H117,Sheet1!H:H,1,0)</f>
        <v>#N/A</v>
      </c>
    </row>
    <row r="118" spans="1:12">
      <c r="A118" t="s">
        <v>208</v>
      </c>
      <c r="B118" t="s">
        <v>293</v>
      </c>
      <c r="C118" t="s">
        <v>210</v>
      </c>
      <c r="D118" t="s">
        <v>211</v>
      </c>
      <c r="E118" t="s">
        <v>373</v>
      </c>
      <c r="F118" t="s">
        <v>374</v>
      </c>
      <c r="G118" t="s">
        <v>378</v>
      </c>
      <c r="H118">
        <v>2480703</v>
      </c>
      <c r="I118" t="s">
        <v>214</v>
      </c>
      <c r="J118" s="14">
        <v>46038</v>
      </c>
      <c r="K118" t="s">
        <v>376</v>
      </c>
      <c r="L118" t="e">
        <f>VLOOKUP(H118,Sheet1!H:H,1,0)</f>
        <v>#N/A</v>
      </c>
    </row>
    <row r="119" spans="1:12">
      <c r="A119" t="s">
        <v>208</v>
      </c>
      <c r="B119" t="s">
        <v>293</v>
      </c>
      <c r="C119" t="s">
        <v>210</v>
      </c>
      <c r="D119" t="s">
        <v>211</v>
      </c>
      <c r="E119" t="s">
        <v>373</v>
      </c>
      <c r="F119" t="s">
        <v>374</v>
      </c>
      <c r="G119" t="s">
        <v>379</v>
      </c>
      <c r="H119">
        <v>2370603</v>
      </c>
      <c r="I119" t="s">
        <v>214</v>
      </c>
      <c r="J119" s="14">
        <v>45658</v>
      </c>
      <c r="K119" t="s">
        <v>376</v>
      </c>
      <c r="L119" t="e">
        <f>VLOOKUP(H119,Sheet1!H:H,1,0)</f>
        <v>#N/A</v>
      </c>
    </row>
    <row r="120" spans="1:12">
      <c r="A120" t="s">
        <v>208</v>
      </c>
      <c r="B120" t="s">
        <v>293</v>
      </c>
      <c r="C120" t="s">
        <v>210</v>
      </c>
      <c r="D120" t="s">
        <v>211</v>
      </c>
      <c r="E120" t="s">
        <v>373</v>
      </c>
      <c r="F120" t="s">
        <v>374</v>
      </c>
      <c r="G120" t="s">
        <v>380</v>
      </c>
      <c r="H120">
        <v>2478603</v>
      </c>
      <c r="I120" t="s">
        <v>214</v>
      </c>
      <c r="J120" s="14">
        <v>46023</v>
      </c>
      <c r="K120" t="s">
        <v>376</v>
      </c>
      <c r="L120" t="e">
        <f>VLOOKUP(H120,Sheet1!H:H,1,0)</f>
        <v>#N/A</v>
      </c>
    </row>
    <row r="121" spans="1:12">
      <c r="A121" t="s">
        <v>208</v>
      </c>
      <c r="B121" t="s">
        <v>293</v>
      </c>
      <c r="C121" t="s">
        <v>210</v>
      </c>
      <c r="D121" t="s">
        <v>211</v>
      </c>
      <c r="E121" t="s">
        <v>373</v>
      </c>
      <c r="F121" t="s">
        <v>374</v>
      </c>
      <c r="G121" t="s">
        <v>381</v>
      </c>
      <c r="H121">
        <v>2485803</v>
      </c>
      <c r="I121" t="s">
        <v>214</v>
      </c>
      <c r="J121" s="14">
        <v>46069</v>
      </c>
      <c r="K121" t="s">
        <v>376</v>
      </c>
      <c r="L121" t="e">
        <f>VLOOKUP(H121,Sheet1!H:H,1,0)</f>
        <v>#N/A</v>
      </c>
    </row>
    <row r="122" spans="1:12">
      <c r="A122" t="s">
        <v>208</v>
      </c>
      <c r="B122" t="s">
        <v>293</v>
      </c>
      <c r="C122" t="s">
        <v>210</v>
      </c>
      <c r="D122" t="s">
        <v>211</v>
      </c>
      <c r="E122" t="s">
        <v>373</v>
      </c>
      <c r="F122" t="s">
        <v>374</v>
      </c>
      <c r="G122" t="s">
        <v>382</v>
      </c>
      <c r="H122">
        <v>2368903</v>
      </c>
      <c r="I122" t="s">
        <v>214</v>
      </c>
      <c r="J122" s="14">
        <v>45658</v>
      </c>
      <c r="K122" t="s">
        <v>376</v>
      </c>
      <c r="L122" t="e">
        <f>VLOOKUP(H122,Sheet1!H:H,1,0)</f>
        <v>#N/A</v>
      </c>
    </row>
    <row r="123" spans="1:12">
      <c r="A123" t="s">
        <v>208</v>
      </c>
      <c r="B123" t="s">
        <v>293</v>
      </c>
      <c r="C123" t="s">
        <v>210</v>
      </c>
      <c r="D123" t="s">
        <v>211</v>
      </c>
      <c r="E123" t="s">
        <v>373</v>
      </c>
      <c r="F123" t="s">
        <v>374</v>
      </c>
      <c r="G123" t="s">
        <v>383</v>
      </c>
      <c r="H123">
        <v>2430803</v>
      </c>
      <c r="I123" t="s">
        <v>214</v>
      </c>
      <c r="J123" s="14">
        <v>45923</v>
      </c>
      <c r="K123" t="s">
        <v>376</v>
      </c>
      <c r="L123" t="e">
        <f>VLOOKUP(H123,Sheet1!H:H,1,0)</f>
        <v>#N/A</v>
      </c>
    </row>
    <row r="124" spans="1:12">
      <c r="A124" t="s">
        <v>208</v>
      </c>
      <c r="B124" t="s">
        <v>293</v>
      </c>
      <c r="C124" t="s">
        <v>210</v>
      </c>
      <c r="D124" t="s">
        <v>211</v>
      </c>
      <c r="E124" t="s">
        <v>373</v>
      </c>
      <c r="F124" t="s">
        <v>374</v>
      </c>
      <c r="G124" t="s">
        <v>384</v>
      </c>
      <c r="H124">
        <v>2497703</v>
      </c>
      <c r="I124" t="s">
        <v>220</v>
      </c>
      <c r="J124" s="14">
        <v>46051</v>
      </c>
      <c r="K124" t="s">
        <v>376</v>
      </c>
      <c r="L124" t="e">
        <f>VLOOKUP(H124,Sheet1!H:H,1,0)</f>
        <v>#N/A</v>
      </c>
    </row>
    <row r="125" spans="1:12">
      <c r="A125" t="s">
        <v>208</v>
      </c>
      <c r="B125" t="s">
        <v>293</v>
      </c>
      <c r="C125" t="s">
        <v>210</v>
      </c>
      <c r="D125" t="s">
        <v>211</v>
      </c>
      <c r="E125" t="s">
        <v>373</v>
      </c>
      <c r="F125" t="s">
        <v>374</v>
      </c>
      <c r="G125" t="s">
        <v>385</v>
      </c>
      <c r="H125">
        <v>2118603</v>
      </c>
      <c r="I125" t="s">
        <v>222</v>
      </c>
      <c r="J125" s="14">
        <v>44758</v>
      </c>
      <c r="K125" t="s">
        <v>376</v>
      </c>
      <c r="L125" t="e">
        <f>VLOOKUP(H125,Sheet1!H:H,1,0)</f>
        <v>#N/A</v>
      </c>
    </row>
    <row r="126" spans="1:12">
      <c r="A126" t="s">
        <v>208</v>
      </c>
      <c r="B126" t="s">
        <v>293</v>
      </c>
      <c r="C126" t="s">
        <v>210</v>
      </c>
      <c r="D126" t="s">
        <v>211</v>
      </c>
      <c r="E126" t="s">
        <v>373</v>
      </c>
      <c r="F126" t="s">
        <v>374</v>
      </c>
      <c r="G126" t="s">
        <v>386</v>
      </c>
      <c r="H126">
        <v>2173603</v>
      </c>
      <c r="I126" t="s">
        <v>243</v>
      </c>
      <c r="J126" s="14">
        <v>45323</v>
      </c>
      <c r="K126" t="s">
        <v>376</v>
      </c>
      <c r="L126" t="e">
        <f>VLOOKUP(H126,Sheet1!H:H,1,0)</f>
        <v>#N/A</v>
      </c>
    </row>
    <row r="127" spans="1:12">
      <c r="A127" t="s">
        <v>208</v>
      </c>
      <c r="B127" t="s">
        <v>293</v>
      </c>
      <c r="C127" t="s">
        <v>210</v>
      </c>
      <c r="D127" t="s">
        <v>211</v>
      </c>
      <c r="E127" t="s">
        <v>373</v>
      </c>
      <c r="F127" t="s">
        <v>374</v>
      </c>
      <c r="G127" t="s">
        <v>387</v>
      </c>
      <c r="H127">
        <v>2202203</v>
      </c>
      <c r="I127" t="s">
        <v>214</v>
      </c>
      <c r="J127" s="14">
        <v>45054</v>
      </c>
      <c r="K127" t="s">
        <v>376</v>
      </c>
      <c r="L127" t="e">
        <f>VLOOKUP(H127,Sheet1!H:H,1,0)</f>
        <v>#N/A</v>
      </c>
    </row>
    <row r="128" spans="1:12">
      <c r="A128" t="s">
        <v>208</v>
      </c>
      <c r="B128" t="s">
        <v>293</v>
      </c>
      <c r="C128" t="s">
        <v>210</v>
      </c>
      <c r="D128" t="s">
        <v>211</v>
      </c>
      <c r="E128" t="s">
        <v>373</v>
      </c>
      <c r="F128" t="s">
        <v>374</v>
      </c>
      <c r="G128" t="s">
        <v>388</v>
      </c>
      <c r="H128">
        <v>2221503</v>
      </c>
      <c r="I128" t="s">
        <v>214</v>
      </c>
      <c r="J128" s="14">
        <v>45139</v>
      </c>
      <c r="K128" t="s">
        <v>376</v>
      </c>
      <c r="L128" t="e">
        <f>VLOOKUP(H128,Sheet1!H:H,1,0)</f>
        <v>#N/A</v>
      </c>
    </row>
    <row r="129" spans="1:12">
      <c r="A129" t="s">
        <v>208</v>
      </c>
      <c r="B129" t="s">
        <v>293</v>
      </c>
      <c r="C129" t="s">
        <v>210</v>
      </c>
      <c r="D129" t="s">
        <v>211</v>
      </c>
      <c r="E129" t="s">
        <v>373</v>
      </c>
      <c r="F129" t="s">
        <v>374</v>
      </c>
      <c r="G129" t="s">
        <v>389</v>
      </c>
      <c r="H129">
        <v>2388003</v>
      </c>
      <c r="I129" t="s">
        <v>220</v>
      </c>
      <c r="J129" s="14">
        <v>45732</v>
      </c>
      <c r="K129" t="s">
        <v>376</v>
      </c>
      <c r="L129" t="e">
        <f>VLOOKUP(H129,Sheet1!H:H,1,0)</f>
        <v>#N/A</v>
      </c>
    </row>
    <row r="130" spans="1:12">
      <c r="A130" t="s">
        <v>208</v>
      </c>
      <c r="B130" t="s">
        <v>293</v>
      </c>
      <c r="C130" t="s">
        <v>210</v>
      </c>
      <c r="D130" t="s">
        <v>211</v>
      </c>
      <c r="E130" t="s">
        <v>373</v>
      </c>
      <c r="F130" t="s">
        <v>374</v>
      </c>
      <c r="G130" t="s">
        <v>390</v>
      </c>
      <c r="H130">
        <v>2422503</v>
      </c>
      <c r="I130" t="s">
        <v>214</v>
      </c>
      <c r="J130" s="14">
        <v>45916</v>
      </c>
      <c r="K130" t="s">
        <v>376</v>
      </c>
      <c r="L130" t="e">
        <f>VLOOKUP(H130,Sheet1!H:H,1,0)</f>
        <v>#N/A</v>
      </c>
    </row>
    <row r="131" spans="1:12">
      <c r="A131" t="s">
        <v>208</v>
      </c>
      <c r="B131" t="s">
        <v>293</v>
      </c>
      <c r="C131" t="s">
        <v>210</v>
      </c>
      <c r="D131" t="s">
        <v>211</v>
      </c>
      <c r="E131" t="s">
        <v>373</v>
      </c>
      <c r="F131" t="s">
        <v>374</v>
      </c>
      <c r="G131" t="s">
        <v>391</v>
      </c>
      <c r="H131">
        <v>2441403</v>
      </c>
      <c r="I131" t="s">
        <v>214</v>
      </c>
      <c r="J131" s="14">
        <v>46023</v>
      </c>
      <c r="K131" t="s">
        <v>376</v>
      </c>
      <c r="L131" t="e">
        <f>VLOOKUP(H131,Sheet1!H:H,1,0)</f>
        <v>#N/A</v>
      </c>
    </row>
    <row r="132" spans="1:12">
      <c r="A132" t="s">
        <v>208</v>
      </c>
      <c r="B132" t="s">
        <v>293</v>
      </c>
      <c r="C132" t="s">
        <v>210</v>
      </c>
      <c r="D132" t="s">
        <v>211</v>
      </c>
      <c r="E132" t="s">
        <v>224</v>
      </c>
      <c r="F132" t="s">
        <v>374</v>
      </c>
      <c r="G132" t="s">
        <v>376</v>
      </c>
      <c r="H132">
        <v>1749603</v>
      </c>
      <c r="I132" t="s">
        <v>225</v>
      </c>
      <c r="J132" s="14">
        <v>42930</v>
      </c>
      <c r="K132" t="s">
        <v>226</v>
      </c>
      <c r="L132" t="e">
        <f>VLOOKUP(H132,Sheet1!H:H,1,0)</f>
        <v>#N/A</v>
      </c>
    </row>
    <row r="133" spans="1:12">
      <c r="A133" t="s">
        <v>208</v>
      </c>
      <c r="B133" t="s">
        <v>293</v>
      </c>
      <c r="C133" t="s">
        <v>210</v>
      </c>
      <c r="D133" t="s">
        <v>211</v>
      </c>
      <c r="E133" t="s">
        <v>392</v>
      </c>
      <c r="F133" t="s">
        <v>393</v>
      </c>
      <c r="G133" t="s">
        <v>394</v>
      </c>
      <c r="H133">
        <v>2356603</v>
      </c>
      <c r="I133" t="s">
        <v>220</v>
      </c>
      <c r="J133" s="14">
        <v>45689</v>
      </c>
      <c r="K133" t="s">
        <v>395</v>
      </c>
      <c r="L133" t="e">
        <f>VLOOKUP(H133,Sheet1!H:H,1,0)</f>
        <v>#N/A</v>
      </c>
    </row>
    <row r="134" spans="1:12">
      <c r="A134" t="s">
        <v>208</v>
      </c>
      <c r="B134" t="s">
        <v>293</v>
      </c>
      <c r="C134" t="s">
        <v>210</v>
      </c>
      <c r="D134" t="s">
        <v>211</v>
      </c>
      <c r="E134" t="s">
        <v>392</v>
      </c>
      <c r="F134" t="s">
        <v>393</v>
      </c>
      <c r="G134" t="s">
        <v>396</v>
      </c>
      <c r="H134">
        <v>1970003</v>
      </c>
      <c r="I134" t="s">
        <v>214</v>
      </c>
      <c r="J134" s="14">
        <v>45883</v>
      </c>
      <c r="K134" t="s">
        <v>395</v>
      </c>
      <c r="L134" t="e">
        <f>VLOOKUP(H134,Sheet1!H:H,1,0)</f>
        <v>#N/A</v>
      </c>
    </row>
    <row r="135" spans="1:12">
      <c r="A135" t="s">
        <v>208</v>
      </c>
      <c r="B135" t="s">
        <v>293</v>
      </c>
      <c r="C135" t="s">
        <v>210</v>
      </c>
      <c r="D135" t="s">
        <v>211</v>
      </c>
      <c r="E135" t="s">
        <v>392</v>
      </c>
      <c r="F135" t="s">
        <v>393</v>
      </c>
      <c r="G135" t="s">
        <v>397</v>
      </c>
      <c r="H135">
        <v>2381203</v>
      </c>
      <c r="I135" t="s">
        <v>214</v>
      </c>
      <c r="J135" s="14">
        <v>45673</v>
      </c>
      <c r="K135" t="s">
        <v>395</v>
      </c>
      <c r="L135" t="e">
        <f>VLOOKUP(H135,Sheet1!H:H,1,0)</f>
        <v>#N/A</v>
      </c>
    </row>
    <row r="136" spans="1:12">
      <c r="A136" t="s">
        <v>208</v>
      </c>
      <c r="B136" t="s">
        <v>293</v>
      </c>
      <c r="C136" t="s">
        <v>210</v>
      </c>
      <c r="D136" t="s">
        <v>211</v>
      </c>
      <c r="E136" t="s">
        <v>392</v>
      </c>
      <c r="F136" t="s">
        <v>393</v>
      </c>
      <c r="G136" t="s">
        <v>398</v>
      </c>
      <c r="H136">
        <v>2401303</v>
      </c>
      <c r="I136" t="s">
        <v>214</v>
      </c>
      <c r="J136" s="14">
        <v>45761</v>
      </c>
      <c r="K136" t="s">
        <v>395</v>
      </c>
      <c r="L136" t="e">
        <f>VLOOKUP(H136,Sheet1!H:H,1,0)</f>
        <v>#N/A</v>
      </c>
    </row>
    <row r="137" spans="1:12">
      <c r="A137" t="s">
        <v>208</v>
      </c>
      <c r="B137" t="s">
        <v>293</v>
      </c>
      <c r="C137" t="s">
        <v>210</v>
      </c>
      <c r="D137" t="s">
        <v>211</v>
      </c>
      <c r="E137" t="s">
        <v>392</v>
      </c>
      <c r="F137" t="s">
        <v>393</v>
      </c>
      <c r="G137" t="s">
        <v>399</v>
      </c>
      <c r="H137">
        <v>2132703</v>
      </c>
      <c r="I137" t="s">
        <v>214</v>
      </c>
      <c r="J137" s="14">
        <v>44782</v>
      </c>
      <c r="K137" t="s">
        <v>395</v>
      </c>
      <c r="L137" t="e">
        <f>VLOOKUP(H137,Sheet1!H:H,1,0)</f>
        <v>#N/A</v>
      </c>
    </row>
    <row r="138" spans="1:12">
      <c r="A138" t="s">
        <v>208</v>
      </c>
      <c r="B138" t="s">
        <v>293</v>
      </c>
      <c r="C138" t="s">
        <v>210</v>
      </c>
      <c r="D138" t="s">
        <v>211</v>
      </c>
      <c r="E138" t="s">
        <v>392</v>
      </c>
      <c r="F138" t="s">
        <v>393</v>
      </c>
      <c r="G138" t="s">
        <v>400</v>
      </c>
      <c r="H138">
        <v>2498103</v>
      </c>
      <c r="I138" t="s">
        <v>214</v>
      </c>
      <c r="J138" s="14">
        <v>46050</v>
      </c>
      <c r="K138" t="s">
        <v>395</v>
      </c>
      <c r="L138" t="e">
        <f>VLOOKUP(H138,Sheet1!H:H,1,0)</f>
        <v>#N/A</v>
      </c>
    </row>
    <row r="139" spans="1:12">
      <c r="A139" t="s">
        <v>208</v>
      </c>
      <c r="B139" t="s">
        <v>293</v>
      </c>
      <c r="C139" t="s">
        <v>210</v>
      </c>
      <c r="D139" t="s">
        <v>211</v>
      </c>
      <c r="E139" t="s">
        <v>392</v>
      </c>
      <c r="F139" t="s">
        <v>393</v>
      </c>
      <c r="G139" t="s">
        <v>401</v>
      </c>
      <c r="H139">
        <v>2355903</v>
      </c>
      <c r="I139" t="s">
        <v>214</v>
      </c>
      <c r="J139" s="14">
        <v>45673</v>
      </c>
      <c r="K139" t="s">
        <v>395</v>
      </c>
      <c r="L139" t="e">
        <f>VLOOKUP(H139,Sheet1!H:H,1,0)</f>
        <v>#N/A</v>
      </c>
    </row>
    <row r="140" spans="1:12">
      <c r="A140" t="s">
        <v>208</v>
      </c>
      <c r="B140" t="s">
        <v>293</v>
      </c>
      <c r="C140" t="s">
        <v>210</v>
      </c>
      <c r="D140" t="s">
        <v>211</v>
      </c>
      <c r="E140" t="s">
        <v>392</v>
      </c>
      <c r="F140" t="s">
        <v>393</v>
      </c>
      <c r="G140" t="s">
        <v>402</v>
      </c>
      <c r="H140">
        <v>2225703</v>
      </c>
      <c r="I140" t="s">
        <v>240</v>
      </c>
      <c r="J140" s="14">
        <v>45166</v>
      </c>
      <c r="K140" t="s">
        <v>395</v>
      </c>
      <c r="L140" t="e">
        <f>VLOOKUP(H140,Sheet1!H:H,1,0)</f>
        <v>#N/A</v>
      </c>
    </row>
    <row r="141" spans="1:12">
      <c r="A141" t="s">
        <v>208</v>
      </c>
      <c r="B141" t="s">
        <v>293</v>
      </c>
      <c r="C141" t="s">
        <v>210</v>
      </c>
      <c r="D141" t="s">
        <v>211</v>
      </c>
      <c r="E141" t="s">
        <v>392</v>
      </c>
      <c r="F141" t="s">
        <v>393</v>
      </c>
      <c r="G141" t="s">
        <v>403</v>
      </c>
      <c r="H141">
        <v>2370203</v>
      </c>
      <c r="I141" t="s">
        <v>214</v>
      </c>
      <c r="J141" s="14">
        <v>45689</v>
      </c>
      <c r="K141" t="s">
        <v>395</v>
      </c>
      <c r="L141" t="e">
        <f>VLOOKUP(H141,Sheet1!H:H,1,0)</f>
        <v>#N/A</v>
      </c>
    </row>
    <row r="142" spans="1:12">
      <c r="A142" t="s">
        <v>208</v>
      </c>
      <c r="B142" t="s">
        <v>293</v>
      </c>
      <c r="C142" t="s">
        <v>210</v>
      </c>
      <c r="D142" t="s">
        <v>211</v>
      </c>
      <c r="E142" t="s">
        <v>392</v>
      </c>
      <c r="F142" t="s">
        <v>393</v>
      </c>
      <c r="G142" t="s">
        <v>404</v>
      </c>
      <c r="H142">
        <v>2474903</v>
      </c>
      <c r="I142" t="s">
        <v>214</v>
      </c>
      <c r="J142" s="14">
        <v>46023</v>
      </c>
      <c r="K142" t="s">
        <v>395</v>
      </c>
      <c r="L142" t="e">
        <f>VLOOKUP(H142,Sheet1!H:H,1,0)</f>
        <v>#N/A</v>
      </c>
    </row>
    <row r="143" spans="1:12">
      <c r="A143" t="s">
        <v>208</v>
      </c>
      <c r="B143" t="s">
        <v>293</v>
      </c>
      <c r="C143" t="s">
        <v>210</v>
      </c>
      <c r="D143" t="s">
        <v>211</v>
      </c>
      <c r="E143" t="s">
        <v>392</v>
      </c>
      <c r="F143" t="s">
        <v>393</v>
      </c>
      <c r="G143" t="s">
        <v>405</v>
      </c>
      <c r="H143">
        <v>1833303</v>
      </c>
      <c r="I143" t="s">
        <v>222</v>
      </c>
      <c r="J143" s="14">
        <v>43222</v>
      </c>
      <c r="K143" t="s">
        <v>395</v>
      </c>
      <c r="L143" t="e">
        <f>VLOOKUP(H143,Sheet1!H:H,1,0)</f>
        <v>#N/A</v>
      </c>
    </row>
    <row r="144" spans="1:12">
      <c r="A144" t="s">
        <v>208</v>
      </c>
      <c r="B144" t="s">
        <v>293</v>
      </c>
      <c r="C144" t="s">
        <v>210</v>
      </c>
      <c r="D144" t="s">
        <v>211</v>
      </c>
      <c r="E144" t="s">
        <v>224</v>
      </c>
      <c r="F144" t="s">
        <v>393</v>
      </c>
      <c r="G144" t="s">
        <v>395</v>
      </c>
      <c r="H144">
        <v>1618503</v>
      </c>
      <c r="I144" t="s">
        <v>225</v>
      </c>
      <c r="J144" s="14">
        <v>42411</v>
      </c>
      <c r="K144" t="s">
        <v>226</v>
      </c>
      <c r="L144" t="e">
        <f>VLOOKUP(H144,Sheet1!H:H,1,0)</f>
        <v>#N/A</v>
      </c>
    </row>
    <row r="145" spans="1:12">
      <c r="A145" t="s">
        <v>208</v>
      </c>
      <c r="B145" t="s">
        <v>293</v>
      </c>
      <c r="C145" t="s">
        <v>210</v>
      </c>
      <c r="D145" t="s">
        <v>211</v>
      </c>
      <c r="E145" t="s">
        <v>392</v>
      </c>
      <c r="F145" t="s">
        <v>393</v>
      </c>
      <c r="G145" t="s">
        <v>406</v>
      </c>
      <c r="H145">
        <v>2471603</v>
      </c>
      <c r="I145" t="s">
        <v>214</v>
      </c>
      <c r="J145" s="14">
        <v>46023</v>
      </c>
      <c r="K145" t="s">
        <v>395</v>
      </c>
      <c r="L145" t="e">
        <f>VLOOKUP(H145,Sheet1!H:H,1,0)</f>
        <v>#N/A</v>
      </c>
    </row>
    <row r="146" spans="1:12">
      <c r="A146" t="s">
        <v>208</v>
      </c>
      <c r="B146" t="s">
        <v>293</v>
      </c>
      <c r="C146" t="s">
        <v>210</v>
      </c>
      <c r="D146" t="s">
        <v>211</v>
      </c>
      <c r="E146" t="s">
        <v>392</v>
      </c>
      <c r="F146" t="s">
        <v>393</v>
      </c>
      <c r="G146" t="s">
        <v>407</v>
      </c>
      <c r="H146">
        <v>2509003</v>
      </c>
      <c r="I146" t="s">
        <v>220</v>
      </c>
      <c r="J146" s="14">
        <v>46094</v>
      </c>
      <c r="K146" t="s">
        <v>395</v>
      </c>
      <c r="L146" t="e">
        <f>VLOOKUP(H146,Sheet1!H:H,1,0)</f>
        <v>#N/A</v>
      </c>
    </row>
    <row r="147" spans="1:12">
      <c r="A147" t="s">
        <v>208</v>
      </c>
      <c r="B147" t="s">
        <v>293</v>
      </c>
      <c r="C147" t="s">
        <v>210</v>
      </c>
      <c r="D147" t="s">
        <v>211</v>
      </c>
      <c r="E147" t="s">
        <v>392</v>
      </c>
      <c r="F147" t="s">
        <v>393</v>
      </c>
      <c r="G147" t="s">
        <v>408</v>
      </c>
      <c r="H147">
        <v>2007803</v>
      </c>
      <c r="I147" t="s">
        <v>243</v>
      </c>
      <c r="J147" s="14">
        <v>44317</v>
      </c>
      <c r="K147" t="s">
        <v>395</v>
      </c>
      <c r="L147" t="e">
        <f>VLOOKUP(H147,Sheet1!H:H,1,0)</f>
        <v>#N/A</v>
      </c>
    </row>
    <row r="148" spans="1:12">
      <c r="A148" t="s">
        <v>208</v>
      </c>
      <c r="B148" t="s">
        <v>293</v>
      </c>
      <c r="C148" t="s">
        <v>210</v>
      </c>
      <c r="D148" t="s">
        <v>211</v>
      </c>
      <c r="E148" t="s">
        <v>392</v>
      </c>
      <c r="F148" t="s">
        <v>393</v>
      </c>
      <c r="G148" t="s">
        <v>409</v>
      </c>
      <c r="H148">
        <v>2506603</v>
      </c>
      <c r="I148" t="s">
        <v>214</v>
      </c>
      <c r="J148" s="14">
        <v>46086</v>
      </c>
      <c r="K148" t="s">
        <v>395</v>
      </c>
      <c r="L148" t="e">
        <f>VLOOKUP(H148,Sheet1!H:H,1,0)</f>
        <v>#N/A</v>
      </c>
    </row>
    <row r="149" spans="1:12">
      <c r="A149" t="s">
        <v>208</v>
      </c>
      <c r="B149" t="s">
        <v>293</v>
      </c>
      <c r="C149" t="s">
        <v>210</v>
      </c>
      <c r="D149" t="s">
        <v>211</v>
      </c>
      <c r="E149" t="s">
        <v>392</v>
      </c>
      <c r="F149" t="s">
        <v>393</v>
      </c>
      <c r="G149" t="s">
        <v>410</v>
      </c>
      <c r="H149">
        <v>2441503</v>
      </c>
      <c r="I149" t="s">
        <v>214</v>
      </c>
      <c r="J149" s="14">
        <v>46023</v>
      </c>
      <c r="K149" t="s">
        <v>395</v>
      </c>
      <c r="L149" t="e">
        <f>VLOOKUP(H149,Sheet1!H:H,1,0)</f>
        <v>#N/A</v>
      </c>
    </row>
    <row r="150" spans="1:12">
      <c r="A150" t="s">
        <v>208</v>
      </c>
      <c r="B150" t="s">
        <v>293</v>
      </c>
      <c r="C150" t="s">
        <v>210</v>
      </c>
      <c r="D150" t="s">
        <v>211</v>
      </c>
      <c r="E150" t="s">
        <v>392</v>
      </c>
      <c r="F150" t="s">
        <v>393</v>
      </c>
      <c r="G150" t="s">
        <v>411</v>
      </c>
      <c r="H150">
        <v>2110703</v>
      </c>
      <c r="I150" t="s">
        <v>243</v>
      </c>
      <c r="J150" s="14">
        <v>44707</v>
      </c>
      <c r="K150" t="s">
        <v>395</v>
      </c>
      <c r="L150" t="e">
        <f>VLOOKUP(H150,Sheet1!H:H,1,0)</f>
        <v>#N/A</v>
      </c>
    </row>
    <row r="151" spans="1:12">
      <c r="A151" t="s">
        <v>208</v>
      </c>
      <c r="B151" t="s">
        <v>293</v>
      </c>
      <c r="C151" t="s">
        <v>210</v>
      </c>
      <c r="D151" t="s">
        <v>211</v>
      </c>
      <c r="E151" t="s">
        <v>392</v>
      </c>
      <c r="F151" t="s">
        <v>393</v>
      </c>
      <c r="G151" t="s">
        <v>412</v>
      </c>
      <c r="H151">
        <v>2249203</v>
      </c>
      <c r="I151" t="s">
        <v>214</v>
      </c>
      <c r="J151" s="14">
        <v>45307</v>
      </c>
      <c r="K151" t="s">
        <v>395</v>
      </c>
      <c r="L151" t="e">
        <f>VLOOKUP(H151,Sheet1!H:H,1,0)</f>
        <v>#N/A</v>
      </c>
    </row>
    <row r="152" spans="1:12">
      <c r="A152" t="s">
        <v>208</v>
      </c>
      <c r="B152" t="s">
        <v>293</v>
      </c>
      <c r="C152" t="s">
        <v>210</v>
      </c>
      <c r="D152" t="s">
        <v>211</v>
      </c>
      <c r="E152" t="s">
        <v>392</v>
      </c>
      <c r="F152" t="s">
        <v>393</v>
      </c>
      <c r="G152" t="s">
        <v>413</v>
      </c>
      <c r="H152">
        <v>2497303</v>
      </c>
      <c r="I152" t="s">
        <v>214</v>
      </c>
      <c r="J152" s="14">
        <v>46055</v>
      </c>
      <c r="K152" t="s">
        <v>395</v>
      </c>
      <c r="L152" t="e">
        <f>VLOOKUP(H152,Sheet1!H:H,1,0)</f>
        <v>#N/A</v>
      </c>
    </row>
    <row r="153" spans="1:12">
      <c r="A153" t="s">
        <v>208</v>
      </c>
      <c r="B153" t="s">
        <v>293</v>
      </c>
      <c r="C153" t="s">
        <v>210</v>
      </c>
      <c r="D153" t="s">
        <v>211</v>
      </c>
      <c r="E153" t="s">
        <v>392</v>
      </c>
      <c r="F153" t="s">
        <v>393</v>
      </c>
      <c r="G153" t="s">
        <v>414</v>
      </c>
      <c r="H153">
        <v>2458703</v>
      </c>
      <c r="I153" t="s">
        <v>220</v>
      </c>
      <c r="J153" s="14">
        <v>46023</v>
      </c>
      <c r="K153" t="s">
        <v>395</v>
      </c>
      <c r="L153" t="e">
        <f>VLOOKUP(H153,Sheet1!H:H,1,0)</f>
        <v>#N/A</v>
      </c>
    </row>
    <row r="154" spans="1:12">
      <c r="A154" t="s">
        <v>208</v>
      </c>
      <c r="B154" t="s">
        <v>324</v>
      </c>
      <c r="C154" t="s">
        <v>210</v>
      </c>
      <c r="D154" t="s">
        <v>211</v>
      </c>
      <c r="E154" t="s">
        <v>415</v>
      </c>
      <c r="F154" t="s">
        <v>416</v>
      </c>
      <c r="G154" t="s">
        <v>417</v>
      </c>
      <c r="H154">
        <v>2509103</v>
      </c>
      <c r="I154" t="s">
        <v>220</v>
      </c>
      <c r="J154" s="14">
        <v>46094</v>
      </c>
      <c r="K154" t="s">
        <v>418</v>
      </c>
      <c r="L154" t="e">
        <f>VLOOKUP(H154,Sheet1!H:H,1,0)</f>
        <v>#N/A</v>
      </c>
    </row>
    <row r="155" spans="1:12">
      <c r="A155" t="s">
        <v>208</v>
      </c>
      <c r="B155" t="s">
        <v>324</v>
      </c>
      <c r="C155" t="s">
        <v>210</v>
      </c>
      <c r="D155" t="s">
        <v>211</v>
      </c>
      <c r="E155" t="s">
        <v>415</v>
      </c>
      <c r="F155" t="s">
        <v>416</v>
      </c>
      <c r="G155" t="s">
        <v>419</v>
      </c>
      <c r="H155">
        <v>2498303</v>
      </c>
      <c r="I155" t="s">
        <v>214</v>
      </c>
      <c r="J155" s="14">
        <v>46050</v>
      </c>
      <c r="K155" t="s">
        <v>418</v>
      </c>
      <c r="L155" t="e">
        <f>VLOOKUP(H155,Sheet1!H:H,1,0)</f>
        <v>#N/A</v>
      </c>
    </row>
    <row r="156" spans="1:12">
      <c r="A156" t="s">
        <v>208</v>
      </c>
      <c r="B156" t="s">
        <v>324</v>
      </c>
      <c r="C156" t="s">
        <v>210</v>
      </c>
      <c r="D156" t="s">
        <v>211</v>
      </c>
      <c r="E156" t="s">
        <v>415</v>
      </c>
      <c r="F156" t="s">
        <v>416</v>
      </c>
      <c r="G156" t="s">
        <v>420</v>
      </c>
      <c r="H156">
        <v>2469603</v>
      </c>
      <c r="I156" t="s">
        <v>214</v>
      </c>
      <c r="J156" s="14">
        <v>46023</v>
      </c>
      <c r="K156" t="s">
        <v>418</v>
      </c>
      <c r="L156" t="e">
        <f>VLOOKUP(H156,Sheet1!H:H,1,0)</f>
        <v>#N/A</v>
      </c>
    </row>
    <row r="157" spans="1:12">
      <c r="A157" t="s">
        <v>208</v>
      </c>
      <c r="B157" t="s">
        <v>324</v>
      </c>
      <c r="C157" t="s">
        <v>210</v>
      </c>
      <c r="D157" t="s">
        <v>211</v>
      </c>
      <c r="E157" t="s">
        <v>415</v>
      </c>
      <c r="F157" t="s">
        <v>416</v>
      </c>
      <c r="G157" t="s">
        <v>421</v>
      </c>
      <c r="H157">
        <v>2226203</v>
      </c>
      <c r="I157" t="s">
        <v>422</v>
      </c>
      <c r="J157" s="14">
        <v>45166</v>
      </c>
      <c r="K157" t="s">
        <v>418</v>
      </c>
      <c r="L157" t="e">
        <f>VLOOKUP(H157,Sheet1!H:H,1,0)</f>
        <v>#N/A</v>
      </c>
    </row>
    <row r="158" spans="1:12">
      <c r="A158" t="s">
        <v>208</v>
      </c>
      <c r="B158" t="s">
        <v>324</v>
      </c>
      <c r="C158" t="s">
        <v>210</v>
      </c>
      <c r="D158" t="s">
        <v>211</v>
      </c>
      <c r="E158" t="s">
        <v>415</v>
      </c>
      <c r="F158" t="s">
        <v>416</v>
      </c>
      <c r="G158" t="s">
        <v>423</v>
      </c>
      <c r="H158">
        <v>2130303</v>
      </c>
      <c r="I158" t="s">
        <v>424</v>
      </c>
      <c r="J158" s="14">
        <v>44776</v>
      </c>
      <c r="K158" t="s">
        <v>418</v>
      </c>
      <c r="L158" t="e">
        <f>VLOOKUP(H158,Sheet1!H:H,1,0)</f>
        <v>#N/A</v>
      </c>
    </row>
    <row r="159" spans="1:12">
      <c r="A159" t="s">
        <v>208</v>
      </c>
      <c r="B159" t="s">
        <v>324</v>
      </c>
      <c r="C159" t="s">
        <v>210</v>
      </c>
      <c r="D159" t="s">
        <v>211</v>
      </c>
      <c r="E159" t="s">
        <v>415</v>
      </c>
      <c r="F159" t="s">
        <v>416</v>
      </c>
      <c r="G159" t="s">
        <v>425</v>
      </c>
      <c r="H159">
        <v>2503403</v>
      </c>
      <c r="I159" t="s">
        <v>214</v>
      </c>
      <c r="J159" s="14">
        <v>46073</v>
      </c>
      <c r="K159" t="s">
        <v>418</v>
      </c>
      <c r="L159" t="e">
        <f>VLOOKUP(H159,Sheet1!H:H,1,0)</f>
        <v>#N/A</v>
      </c>
    </row>
    <row r="160" spans="1:12">
      <c r="A160" t="s">
        <v>208</v>
      </c>
      <c r="B160" t="s">
        <v>324</v>
      </c>
      <c r="C160" t="s">
        <v>210</v>
      </c>
      <c r="D160" t="s">
        <v>211</v>
      </c>
      <c r="E160" t="s">
        <v>415</v>
      </c>
      <c r="F160" t="s">
        <v>416</v>
      </c>
      <c r="G160" t="s">
        <v>426</v>
      </c>
      <c r="H160">
        <v>2355303</v>
      </c>
      <c r="I160" t="s">
        <v>214</v>
      </c>
      <c r="J160" s="14">
        <v>45658</v>
      </c>
      <c r="K160" t="s">
        <v>418</v>
      </c>
      <c r="L160" t="e">
        <f>VLOOKUP(H160,Sheet1!H:H,1,0)</f>
        <v>#N/A</v>
      </c>
    </row>
    <row r="161" spans="1:12">
      <c r="A161" t="s">
        <v>208</v>
      </c>
      <c r="B161" t="s">
        <v>324</v>
      </c>
      <c r="C161" t="s">
        <v>210</v>
      </c>
      <c r="D161" t="s">
        <v>211</v>
      </c>
      <c r="E161" t="s">
        <v>415</v>
      </c>
      <c r="F161" t="s">
        <v>416</v>
      </c>
      <c r="G161" t="s">
        <v>427</v>
      </c>
      <c r="H161">
        <v>2021503</v>
      </c>
      <c r="I161" t="s">
        <v>214</v>
      </c>
      <c r="J161" s="14">
        <v>45700</v>
      </c>
      <c r="K161" t="s">
        <v>418</v>
      </c>
      <c r="L161" t="e">
        <f>VLOOKUP(H161,Sheet1!H:H,1,0)</f>
        <v>#N/A</v>
      </c>
    </row>
    <row r="162" spans="1:12">
      <c r="A162" t="s">
        <v>208</v>
      </c>
      <c r="B162" t="s">
        <v>324</v>
      </c>
      <c r="C162" t="s">
        <v>210</v>
      </c>
      <c r="D162" t="s">
        <v>211</v>
      </c>
      <c r="E162" t="s">
        <v>415</v>
      </c>
      <c r="F162" t="s">
        <v>416</v>
      </c>
      <c r="G162" t="s">
        <v>428</v>
      </c>
      <c r="H162">
        <v>2452003</v>
      </c>
      <c r="I162" t="s">
        <v>214</v>
      </c>
      <c r="J162" s="14">
        <v>46023</v>
      </c>
      <c r="K162" t="s">
        <v>418</v>
      </c>
      <c r="L162" t="e">
        <f>VLOOKUP(H162,Sheet1!H:H,1,0)</f>
        <v>#N/A</v>
      </c>
    </row>
    <row r="163" spans="1:12">
      <c r="A163" t="s">
        <v>208</v>
      </c>
      <c r="B163" t="s">
        <v>324</v>
      </c>
      <c r="C163" t="s">
        <v>429</v>
      </c>
      <c r="D163" t="s">
        <v>211</v>
      </c>
      <c r="E163" t="s">
        <v>415</v>
      </c>
      <c r="F163" t="s">
        <v>416</v>
      </c>
      <c r="G163" t="s">
        <v>430</v>
      </c>
      <c r="H163">
        <v>2214403</v>
      </c>
      <c r="I163" t="s">
        <v>220</v>
      </c>
      <c r="J163" s="14">
        <v>46099</v>
      </c>
      <c r="K163" t="s">
        <v>418</v>
      </c>
      <c r="L163" t="e">
        <f>VLOOKUP(H163,Sheet1!H:H,1,0)</f>
        <v>#N/A</v>
      </c>
    </row>
    <row r="164" spans="1:12">
      <c r="A164" t="s">
        <v>208</v>
      </c>
      <c r="B164" t="s">
        <v>324</v>
      </c>
      <c r="C164" t="s">
        <v>210</v>
      </c>
      <c r="D164" t="s">
        <v>211</v>
      </c>
      <c r="E164" t="s">
        <v>415</v>
      </c>
      <c r="F164" t="s">
        <v>416</v>
      </c>
      <c r="G164" t="s">
        <v>431</v>
      </c>
      <c r="H164">
        <v>2503103</v>
      </c>
      <c r="I164" t="s">
        <v>214</v>
      </c>
      <c r="J164" s="14">
        <v>46073</v>
      </c>
      <c r="K164" t="s">
        <v>418</v>
      </c>
      <c r="L164" t="e">
        <f>VLOOKUP(H164,Sheet1!H:H,1,0)</f>
        <v>#N/A</v>
      </c>
    </row>
    <row r="165" spans="1:12">
      <c r="A165" t="s">
        <v>208</v>
      </c>
      <c r="B165" t="s">
        <v>324</v>
      </c>
      <c r="C165" t="s">
        <v>210</v>
      </c>
      <c r="D165" t="s">
        <v>211</v>
      </c>
      <c r="E165" t="s">
        <v>415</v>
      </c>
      <c r="F165" t="s">
        <v>416</v>
      </c>
      <c r="G165" t="s">
        <v>432</v>
      </c>
      <c r="H165">
        <v>2172103</v>
      </c>
      <c r="I165" t="s">
        <v>214</v>
      </c>
      <c r="J165" s="14">
        <v>44925</v>
      </c>
      <c r="K165" t="s">
        <v>418</v>
      </c>
      <c r="L165" t="e">
        <f>VLOOKUP(H165,Sheet1!H:H,1,0)</f>
        <v>#N/A</v>
      </c>
    </row>
    <row r="166" spans="1:12">
      <c r="A166" t="s">
        <v>208</v>
      </c>
      <c r="B166" t="s">
        <v>324</v>
      </c>
      <c r="C166" t="s">
        <v>210</v>
      </c>
      <c r="D166" t="s">
        <v>211</v>
      </c>
      <c r="E166" t="s">
        <v>415</v>
      </c>
      <c r="F166" t="s">
        <v>416</v>
      </c>
      <c r="G166" t="s">
        <v>433</v>
      </c>
      <c r="H166">
        <v>2302003</v>
      </c>
      <c r="I166" t="s">
        <v>214</v>
      </c>
      <c r="J166" s="14">
        <v>45505</v>
      </c>
      <c r="K166" t="s">
        <v>418</v>
      </c>
      <c r="L166" t="e">
        <f>VLOOKUP(H166,Sheet1!H:H,1,0)</f>
        <v>#N/A</v>
      </c>
    </row>
    <row r="167" spans="1:12">
      <c r="A167" t="s">
        <v>208</v>
      </c>
      <c r="B167" t="s">
        <v>324</v>
      </c>
      <c r="C167" t="s">
        <v>210</v>
      </c>
      <c r="D167" t="s">
        <v>211</v>
      </c>
      <c r="E167" t="s">
        <v>415</v>
      </c>
      <c r="F167" t="s">
        <v>416</v>
      </c>
      <c r="G167" t="s">
        <v>434</v>
      </c>
      <c r="H167">
        <v>2508803</v>
      </c>
      <c r="I167" t="s">
        <v>220</v>
      </c>
      <c r="J167" s="14">
        <v>46094</v>
      </c>
      <c r="K167" t="s">
        <v>418</v>
      </c>
      <c r="L167" t="e">
        <f>VLOOKUP(H167,Sheet1!H:H,1,0)</f>
        <v>#N/A</v>
      </c>
    </row>
    <row r="168" spans="1:12">
      <c r="A168" t="s">
        <v>208</v>
      </c>
      <c r="B168" t="s">
        <v>324</v>
      </c>
      <c r="C168" t="s">
        <v>210</v>
      </c>
      <c r="D168" t="s">
        <v>211</v>
      </c>
      <c r="E168" t="s">
        <v>415</v>
      </c>
      <c r="F168" t="s">
        <v>416</v>
      </c>
      <c r="G168" t="s">
        <v>435</v>
      </c>
      <c r="H168">
        <v>2451903</v>
      </c>
      <c r="I168" t="s">
        <v>214</v>
      </c>
      <c r="J168" s="14">
        <v>46023</v>
      </c>
      <c r="K168" t="s">
        <v>418</v>
      </c>
      <c r="L168" t="e">
        <f>VLOOKUP(H168,Sheet1!H:H,1,0)</f>
        <v>#N/A</v>
      </c>
    </row>
    <row r="169" spans="1:12">
      <c r="A169" t="s">
        <v>208</v>
      </c>
      <c r="B169" t="s">
        <v>324</v>
      </c>
      <c r="C169" t="s">
        <v>210</v>
      </c>
      <c r="D169" t="s">
        <v>211</v>
      </c>
      <c r="E169" t="s">
        <v>415</v>
      </c>
      <c r="F169" t="s">
        <v>416</v>
      </c>
      <c r="G169" t="s">
        <v>436</v>
      </c>
      <c r="H169">
        <v>2199503</v>
      </c>
      <c r="I169" t="s">
        <v>214</v>
      </c>
      <c r="J169" s="14">
        <v>45033</v>
      </c>
      <c r="K169" t="s">
        <v>418</v>
      </c>
      <c r="L169" t="e">
        <f>VLOOKUP(H169,Sheet1!H:H,1,0)</f>
        <v>#N/A</v>
      </c>
    </row>
    <row r="170" spans="1:12">
      <c r="A170" t="s">
        <v>208</v>
      </c>
      <c r="B170" t="s">
        <v>324</v>
      </c>
      <c r="C170" t="s">
        <v>210</v>
      </c>
      <c r="D170" t="s">
        <v>211</v>
      </c>
      <c r="E170" t="s">
        <v>415</v>
      </c>
      <c r="F170" t="s">
        <v>416</v>
      </c>
      <c r="G170" t="s">
        <v>437</v>
      </c>
      <c r="H170">
        <v>2468503</v>
      </c>
      <c r="I170" t="s">
        <v>214</v>
      </c>
      <c r="J170" s="14">
        <v>46023</v>
      </c>
      <c r="K170" t="s">
        <v>418</v>
      </c>
      <c r="L170" t="e">
        <f>VLOOKUP(H170,Sheet1!H:H,1,0)</f>
        <v>#N/A</v>
      </c>
    </row>
    <row r="171" spans="1:12">
      <c r="A171" t="s">
        <v>208</v>
      </c>
      <c r="B171" t="s">
        <v>324</v>
      </c>
      <c r="C171" t="s">
        <v>210</v>
      </c>
      <c r="D171" t="s">
        <v>211</v>
      </c>
      <c r="E171" t="s">
        <v>415</v>
      </c>
      <c r="F171" t="s">
        <v>416</v>
      </c>
      <c r="G171" t="s">
        <v>438</v>
      </c>
      <c r="H171">
        <v>2355603</v>
      </c>
      <c r="I171" t="s">
        <v>214</v>
      </c>
      <c r="J171" s="14">
        <v>45904</v>
      </c>
      <c r="K171" t="s">
        <v>418</v>
      </c>
      <c r="L171" t="e">
        <f>VLOOKUP(H171,Sheet1!H:H,1,0)</f>
        <v>#N/A</v>
      </c>
    </row>
    <row r="172" spans="1:12">
      <c r="A172" t="s">
        <v>208</v>
      </c>
      <c r="B172" t="s">
        <v>324</v>
      </c>
      <c r="C172" t="s">
        <v>210</v>
      </c>
      <c r="D172" t="s">
        <v>211</v>
      </c>
      <c r="E172" t="s">
        <v>415</v>
      </c>
      <c r="F172" t="s">
        <v>416</v>
      </c>
      <c r="G172" t="s">
        <v>439</v>
      </c>
      <c r="H172">
        <v>2503003</v>
      </c>
      <c r="I172" t="s">
        <v>220</v>
      </c>
      <c r="J172" s="14">
        <v>46073</v>
      </c>
      <c r="K172" t="s">
        <v>418</v>
      </c>
      <c r="L172" t="e">
        <f>VLOOKUP(H172,Sheet1!H:H,1,0)</f>
        <v>#N/A</v>
      </c>
    </row>
    <row r="173" spans="1:12">
      <c r="A173" t="s">
        <v>208</v>
      </c>
      <c r="B173" t="s">
        <v>324</v>
      </c>
      <c r="C173" t="s">
        <v>210</v>
      </c>
      <c r="D173" t="s">
        <v>211</v>
      </c>
      <c r="E173" t="s">
        <v>415</v>
      </c>
      <c r="F173" t="s">
        <v>416</v>
      </c>
      <c r="G173" t="s">
        <v>440</v>
      </c>
      <c r="H173">
        <v>2511403</v>
      </c>
      <c r="I173" t="s">
        <v>220</v>
      </c>
      <c r="J173" s="14">
        <v>46099</v>
      </c>
      <c r="K173" t="s">
        <v>418</v>
      </c>
      <c r="L173" t="e">
        <f>VLOOKUP(H173,Sheet1!H:H,1,0)</f>
        <v>#N/A</v>
      </c>
    </row>
    <row r="174" spans="1:12">
      <c r="A174" t="s">
        <v>208</v>
      </c>
      <c r="B174" t="s">
        <v>324</v>
      </c>
      <c r="C174" t="s">
        <v>429</v>
      </c>
      <c r="D174" t="s">
        <v>211</v>
      </c>
      <c r="E174" t="s">
        <v>415</v>
      </c>
      <c r="F174" t="s">
        <v>416</v>
      </c>
      <c r="G174" t="s">
        <v>441</v>
      </c>
      <c r="H174">
        <v>2474503</v>
      </c>
      <c r="I174" t="s">
        <v>220</v>
      </c>
      <c r="J174" s="14">
        <v>46069</v>
      </c>
      <c r="K174" t="s">
        <v>418</v>
      </c>
      <c r="L174" t="e">
        <f>VLOOKUP(H174,Sheet1!H:H,1,0)</f>
        <v>#N/A</v>
      </c>
    </row>
    <row r="175" spans="1:12">
      <c r="A175" t="s">
        <v>208</v>
      </c>
      <c r="B175" t="s">
        <v>324</v>
      </c>
      <c r="C175" t="s">
        <v>210</v>
      </c>
      <c r="D175" t="s">
        <v>211</v>
      </c>
      <c r="E175" t="s">
        <v>415</v>
      </c>
      <c r="F175" t="s">
        <v>416</v>
      </c>
      <c r="G175" t="s">
        <v>442</v>
      </c>
      <c r="H175">
        <v>2508703</v>
      </c>
      <c r="I175" t="s">
        <v>214</v>
      </c>
      <c r="J175" s="14">
        <v>46094</v>
      </c>
      <c r="K175" t="s">
        <v>418</v>
      </c>
      <c r="L175" t="e">
        <f>VLOOKUP(H175,Sheet1!H:H,1,0)</f>
        <v>#N/A</v>
      </c>
    </row>
    <row r="176" spans="1:12">
      <c r="A176" t="s">
        <v>208</v>
      </c>
      <c r="B176" t="s">
        <v>324</v>
      </c>
      <c r="C176" t="s">
        <v>210</v>
      </c>
      <c r="D176" t="s">
        <v>211</v>
      </c>
      <c r="E176" t="s">
        <v>415</v>
      </c>
      <c r="F176" t="s">
        <v>416</v>
      </c>
      <c r="G176" t="s">
        <v>443</v>
      </c>
      <c r="H176">
        <v>2354503</v>
      </c>
      <c r="I176" t="s">
        <v>214</v>
      </c>
      <c r="J176" s="14">
        <v>45658</v>
      </c>
      <c r="K176" t="s">
        <v>418</v>
      </c>
      <c r="L176" t="e">
        <f>VLOOKUP(H176,Sheet1!H:H,1,0)</f>
        <v>#N/A</v>
      </c>
    </row>
    <row r="177" spans="1:12">
      <c r="A177" t="s">
        <v>208</v>
      </c>
      <c r="B177" t="s">
        <v>324</v>
      </c>
      <c r="C177" t="s">
        <v>210</v>
      </c>
      <c r="D177" t="s">
        <v>211</v>
      </c>
      <c r="E177" t="s">
        <v>415</v>
      </c>
      <c r="F177" t="s">
        <v>416</v>
      </c>
      <c r="G177" t="s">
        <v>444</v>
      </c>
      <c r="H177">
        <v>2369003</v>
      </c>
      <c r="I177" t="s">
        <v>214</v>
      </c>
      <c r="J177" s="14">
        <v>45919</v>
      </c>
      <c r="K177" t="s">
        <v>418</v>
      </c>
      <c r="L177" t="e">
        <f>VLOOKUP(H177,Sheet1!H:H,1,0)</f>
        <v>#N/A</v>
      </c>
    </row>
    <row r="178" spans="1:12">
      <c r="A178" t="s">
        <v>208</v>
      </c>
      <c r="B178" t="s">
        <v>324</v>
      </c>
      <c r="C178" t="s">
        <v>210</v>
      </c>
      <c r="D178" t="s">
        <v>211</v>
      </c>
      <c r="E178" t="s">
        <v>415</v>
      </c>
      <c r="F178" t="s">
        <v>416</v>
      </c>
      <c r="G178" t="s">
        <v>445</v>
      </c>
      <c r="H178">
        <v>2354203</v>
      </c>
      <c r="I178" t="s">
        <v>214</v>
      </c>
      <c r="J178" s="14">
        <v>45658</v>
      </c>
      <c r="K178" t="s">
        <v>418</v>
      </c>
      <c r="L178" t="e">
        <f>VLOOKUP(H178,Sheet1!H:H,1,0)</f>
        <v>#N/A</v>
      </c>
    </row>
    <row r="179" spans="1:12">
      <c r="A179" t="s">
        <v>208</v>
      </c>
      <c r="B179" t="s">
        <v>324</v>
      </c>
      <c r="C179" t="s">
        <v>210</v>
      </c>
      <c r="D179" t="s">
        <v>211</v>
      </c>
      <c r="E179" t="s">
        <v>415</v>
      </c>
      <c r="F179" t="s">
        <v>416</v>
      </c>
      <c r="G179" t="s">
        <v>446</v>
      </c>
      <c r="H179">
        <v>2485703</v>
      </c>
      <c r="I179" t="s">
        <v>220</v>
      </c>
      <c r="J179" s="14">
        <v>46094</v>
      </c>
      <c r="K179" t="s">
        <v>418</v>
      </c>
      <c r="L179" t="e">
        <f>VLOOKUP(H179,Sheet1!H:H,1,0)</f>
        <v>#N/A</v>
      </c>
    </row>
    <row r="180" spans="1:12">
      <c r="A180" t="s">
        <v>208</v>
      </c>
      <c r="B180" t="s">
        <v>324</v>
      </c>
      <c r="C180" t="s">
        <v>210</v>
      </c>
      <c r="D180" t="s">
        <v>211</v>
      </c>
      <c r="E180" t="s">
        <v>415</v>
      </c>
      <c r="F180" t="s">
        <v>416</v>
      </c>
      <c r="G180" t="s">
        <v>447</v>
      </c>
      <c r="H180">
        <v>2253203</v>
      </c>
      <c r="I180" t="s">
        <v>214</v>
      </c>
      <c r="J180" s="14">
        <v>45505</v>
      </c>
      <c r="K180" t="s">
        <v>418</v>
      </c>
      <c r="L180" t="e">
        <f>VLOOKUP(H180,Sheet1!H:H,1,0)</f>
        <v>#N/A</v>
      </c>
    </row>
    <row r="181" spans="1:12">
      <c r="A181" t="s">
        <v>208</v>
      </c>
      <c r="B181" t="s">
        <v>324</v>
      </c>
      <c r="C181" t="s">
        <v>210</v>
      </c>
      <c r="D181" t="s">
        <v>211</v>
      </c>
      <c r="E181" t="s">
        <v>415</v>
      </c>
      <c r="F181" t="s">
        <v>416</v>
      </c>
      <c r="G181" t="s">
        <v>448</v>
      </c>
      <c r="H181">
        <v>2469703</v>
      </c>
      <c r="I181" t="s">
        <v>214</v>
      </c>
      <c r="J181" s="14">
        <v>46023</v>
      </c>
      <c r="K181" t="s">
        <v>418</v>
      </c>
      <c r="L181" t="e">
        <f>VLOOKUP(H181,Sheet1!H:H,1,0)</f>
        <v>#N/A</v>
      </c>
    </row>
    <row r="182" spans="1:12">
      <c r="A182" t="s">
        <v>208</v>
      </c>
      <c r="B182" t="s">
        <v>324</v>
      </c>
      <c r="C182" t="s">
        <v>210</v>
      </c>
      <c r="D182" t="s">
        <v>211</v>
      </c>
      <c r="E182" t="s">
        <v>415</v>
      </c>
      <c r="F182" t="s">
        <v>416</v>
      </c>
      <c r="G182" t="s">
        <v>449</v>
      </c>
      <c r="H182">
        <v>2427103</v>
      </c>
      <c r="I182" t="s">
        <v>214</v>
      </c>
      <c r="J182" s="14">
        <v>45904</v>
      </c>
      <c r="K182" t="s">
        <v>418</v>
      </c>
      <c r="L182" t="e">
        <f>VLOOKUP(H182,Sheet1!H:H,1,0)</f>
        <v>#N/A</v>
      </c>
    </row>
    <row r="183" spans="1:12">
      <c r="A183" t="s">
        <v>208</v>
      </c>
      <c r="B183" t="s">
        <v>324</v>
      </c>
      <c r="C183" t="s">
        <v>210</v>
      </c>
      <c r="D183" t="s">
        <v>211</v>
      </c>
      <c r="E183" t="s">
        <v>415</v>
      </c>
      <c r="F183" t="s">
        <v>416</v>
      </c>
      <c r="G183" t="s">
        <v>450</v>
      </c>
      <c r="H183">
        <v>2511203</v>
      </c>
      <c r="I183" t="s">
        <v>214</v>
      </c>
      <c r="J183" s="14">
        <v>46099</v>
      </c>
      <c r="K183" t="s">
        <v>418</v>
      </c>
      <c r="L183" t="e">
        <f>VLOOKUP(H183,Sheet1!H:H,1,0)</f>
        <v>#N/A</v>
      </c>
    </row>
    <row r="184" spans="1:12">
      <c r="A184" t="s">
        <v>208</v>
      </c>
      <c r="B184" t="s">
        <v>324</v>
      </c>
      <c r="C184" t="s">
        <v>210</v>
      </c>
      <c r="D184" t="s">
        <v>211</v>
      </c>
      <c r="E184" t="s">
        <v>415</v>
      </c>
      <c r="F184" t="s">
        <v>416</v>
      </c>
      <c r="G184" t="s">
        <v>451</v>
      </c>
      <c r="H184">
        <v>2511503</v>
      </c>
      <c r="I184" t="s">
        <v>214</v>
      </c>
      <c r="J184" s="14">
        <v>46099</v>
      </c>
      <c r="K184" t="s">
        <v>418</v>
      </c>
      <c r="L184" t="e">
        <f>VLOOKUP(H184,Sheet1!H:H,1,0)</f>
        <v>#N/A</v>
      </c>
    </row>
    <row r="185" spans="1:12">
      <c r="A185" t="s">
        <v>208</v>
      </c>
      <c r="B185" t="s">
        <v>324</v>
      </c>
      <c r="C185" t="s">
        <v>210</v>
      </c>
      <c r="D185" t="s">
        <v>211</v>
      </c>
      <c r="E185" t="s">
        <v>415</v>
      </c>
      <c r="F185" t="s">
        <v>416</v>
      </c>
      <c r="G185" t="s">
        <v>452</v>
      </c>
      <c r="H185">
        <v>2469303</v>
      </c>
      <c r="I185" t="s">
        <v>214</v>
      </c>
      <c r="J185" s="14">
        <v>46038</v>
      </c>
      <c r="K185" t="s">
        <v>418</v>
      </c>
      <c r="L185" t="e">
        <f>VLOOKUP(H185,Sheet1!H:H,1,0)</f>
        <v>#N/A</v>
      </c>
    </row>
    <row r="186" spans="1:12">
      <c r="A186" t="s">
        <v>208</v>
      </c>
      <c r="B186" t="s">
        <v>324</v>
      </c>
      <c r="C186" t="s">
        <v>210</v>
      </c>
      <c r="D186" t="s">
        <v>211</v>
      </c>
      <c r="E186" t="s">
        <v>415</v>
      </c>
      <c r="F186" t="s">
        <v>416</v>
      </c>
      <c r="G186" t="s">
        <v>453</v>
      </c>
      <c r="H186">
        <v>2498203</v>
      </c>
      <c r="I186" t="s">
        <v>214</v>
      </c>
      <c r="J186" s="14">
        <v>46050</v>
      </c>
      <c r="K186" t="s">
        <v>418</v>
      </c>
      <c r="L186" t="e">
        <f>VLOOKUP(H186,Sheet1!H:H,1,0)</f>
        <v>#N/A</v>
      </c>
    </row>
    <row r="187" spans="1:12">
      <c r="A187" t="s">
        <v>208</v>
      </c>
      <c r="B187" t="s">
        <v>324</v>
      </c>
      <c r="C187" t="s">
        <v>210</v>
      </c>
      <c r="D187" t="s">
        <v>211</v>
      </c>
      <c r="E187" t="s">
        <v>415</v>
      </c>
      <c r="F187" t="s">
        <v>416</v>
      </c>
      <c r="G187" t="s">
        <v>454</v>
      </c>
      <c r="H187">
        <v>2469203</v>
      </c>
      <c r="I187" t="s">
        <v>214</v>
      </c>
      <c r="J187" s="14">
        <v>46023</v>
      </c>
      <c r="K187" t="s">
        <v>418</v>
      </c>
      <c r="L187" t="e">
        <f>VLOOKUP(H187,Sheet1!H:H,1,0)</f>
        <v>#N/A</v>
      </c>
    </row>
    <row r="188" spans="1:12">
      <c r="A188" t="s">
        <v>208</v>
      </c>
      <c r="B188" t="s">
        <v>324</v>
      </c>
      <c r="C188" t="s">
        <v>210</v>
      </c>
      <c r="D188" t="s">
        <v>211</v>
      </c>
      <c r="E188" t="s">
        <v>415</v>
      </c>
      <c r="F188" t="s">
        <v>416</v>
      </c>
      <c r="G188" t="s">
        <v>455</v>
      </c>
      <c r="H188">
        <v>2211903</v>
      </c>
      <c r="I188" t="s">
        <v>214</v>
      </c>
      <c r="J188" s="14">
        <v>45123</v>
      </c>
      <c r="K188" t="s">
        <v>418</v>
      </c>
      <c r="L188" t="e">
        <f>VLOOKUP(H188,Sheet1!H:H,1,0)</f>
        <v>#N/A</v>
      </c>
    </row>
    <row r="189" spans="1:12">
      <c r="A189" t="s">
        <v>208</v>
      </c>
      <c r="B189" t="s">
        <v>324</v>
      </c>
      <c r="C189" t="s">
        <v>210</v>
      </c>
      <c r="D189" t="s">
        <v>211</v>
      </c>
      <c r="E189" t="s">
        <v>415</v>
      </c>
      <c r="F189" t="s">
        <v>416</v>
      </c>
      <c r="G189" t="s">
        <v>456</v>
      </c>
      <c r="H189">
        <v>2463703</v>
      </c>
      <c r="I189" t="s">
        <v>214</v>
      </c>
      <c r="J189" s="14">
        <v>46023</v>
      </c>
      <c r="K189" t="s">
        <v>418</v>
      </c>
      <c r="L189" t="e">
        <f>VLOOKUP(H189,Sheet1!H:H,1,0)</f>
        <v>#N/A</v>
      </c>
    </row>
    <row r="190" spans="1:12">
      <c r="A190" t="s">
        <v>208</v>
      </c>
      <c r="B190" t="s">
        <v>324</v>
      </c>
      <c r="C190" t="s">
        <v>210</v>
      </c>
      <c r="D190" t="s">
        <v>211</v>
      </c>
      <c r="E190" t="s">
        <v>415</v>
      </c>
      <c r="F190" t="s">
        <v>416</v>
      </c>
      <c r="G190" t="s">
        <v>457</v>
      </c>
      <c r="H190">
        <v>1596603</v>
      </c>
      <c r="I190" t="s">
        <v>458</v>
      </c>
      <c r="J190" s="14">
        <v>42324</v>
      </c>
      <c r="K190" t="s">
        <v>418</v>
      </c>
      <c r="L190" t="e">
        <f>VLOOKUP(H190,Sheet1!H:H,1,0)</f>
        <v>#N/A</v>
      </c>
    </row>
    <row r="191" spans="1:12">
      <c r="A191" t="s">
        <v>208</v>
      </c>
      <c r="B191" t="s">
        <v>324</v>
      </c>
      <c r="C191" t="s">
        <v>210</v>
      </c>
      <c r="D191" t="s">
        <v>211</v>
      </c>
      <c r="E191" t="s">
        <v>415</v>
      </c>
      <c r="F191" t="s">
        <v>416</v>
      </c>
      <c r="G191" t="s">
        <v>459</v>
      </c>
      <c r="H191">
        <v>2431603</v>
      </c>
      <c r="I191" t="s">
        <v>214</v>
      </c>
      <c r="J191" s="14">
        <v>45926</v>
      </c>
      <c r="K191" t="s">
        <v>418</v>
      </c>
      <c r="L191" t="e">
        <f>VLOOKUP(H191,Sheet1!H:H,1,0)</f>
        <v>#N/A</v>
      </c>
    </row>
    <row r="192" spans="1:12">
      <c r="A192" t="s">
        <v>208</v>
      </c>
      <c r="B192" t="s">
        <v>324</v>
      </c>
      <c r="C192" t="s">
        <v>210</v>
      </c>
      <c r="D192" t="s">
        <v>211</v>
      </c>
      <c r="E192" t="s">
        <v>415</v>
      </c>
      <c r="F192" t="s">
        <v>416</v>
      </c>
      <c r="G192" t="s">
        <v>460</v>
      </c>
      <c r="H192">
        <v>2244103</v>
      </c>
      <c r="I192" t="s">
        <v>240</v>
      </c>
      <c r="J192" s="14">
        <v>45323</v>
      </c>
      <c r="K192" t="s">
        <v>418</v>
      </c>
      <c r="L192" t="e">
        <f>VLOOKUP(H192,Sheet1!H:H,1,0)</f>
        <v>#N/A</v>
      </c>
    </row>
    <row r="193" spans="1:12">
      <c r="A193" t="s">
        <v>208</v>
      </c>
      <c r="B193" t="s">
        <v>324</v>
      </c>
      <c r="C193" t="s">
        <v>210</v>
      </c>
      <c r="D193" t="s">
        <v>211</v>
      </c>
      <c r="E193" t="s">
        <v>415</v>
      </c>
      <c r="F193" t="s">
        <v>416</v>
      </c>
      <c r="G193" t="s">
        <v>461</v>
      </c>
      <c r="H193">
        <v>2412403</v>
      </c>
      <c r="I193" t="s">
        <v>214</v>
      </c>
      <c r="J193" s="14">
        <v>45870</v>
      </c>
      <c r="K193" t="s">
        <v>418</v>
      </c>
      <c r="L193" t="e">
        <f>VLOOKUP(H193,Sheet1!H:H,1,0)</f>
        <v>#N/A</v>
      </c>
    </row>
    <row r="194" spans="1:12">
      <c r="A194" t="s">
        <v>208</v>
      </c>
      <c r="B194" t="s">
        <v>324</v>
      </c>
      <c r="C194" t="s">
        <v>210</v>
      </c>
      <c r="D194" t="s">
        <v>211</v>
      </c>
      <c r="E194" t="s">
        <v>415</v>
      </c>
      <c r="F194" t="s">
        <v>416</v>
      </c>
      <c r="G194" t="s">
        <v>462</v>
      </c>
      <c r="H194">
        <v>2494103</v>
      </c>
      <c r="I194" t="s">
        <v>214</v>
      </c>
      <c r="J194" s="14">
        <v>46069</v>
      </c>
      <c r="K194" t="s">
        <v>418</v>
      </c>
      <c r="L194" t="e">
        <f>VLOOKUP(H194,Sheet1!H:H,1,0)</f>
        <v>#N/A</v>
      </c>
    </row>
    <row r="195" spans="1:12">
      <c r="A195" t="s">
        <v>208</v>
      </c>
      <c r="B195" t="s">
        <v>324</v>
      </c>
      <c r="C195" t="s">
        <v>210</v>
      </c>
      <c r="D195" t="s">
        <v>211</v>
      </c>
      <c r="E195" t="s">
        <v>415</v>
      </c>
      <c r="F195" t="s">
        <v>416</v>
      </c>
      <c r="G195" t="s">
        <v>463</v>
      </c>
      <c r="H195">
        <v>2354303</v>
      </c>
      <c r="I195" t="s">
        <v>214</v>
      </c>
      <c r="J195" s="14">
        <v>45658</v>
      </c>
      <c r="K195" t="s">
        <v>418</v>
      </c>
      <c r="L195" t="e">
        <f>VLOOKUP(H195,Sheet1!H:H,1,0)</f>
        <v>#N/A</v>
      </c>
    </row>
    <row r="196" spans="1:12">
      <c r="A196" t="s">
        <v>208</v>
      </c>
      <c r="B196" t="s">
        <v>324</v>
      </c>
      <c r="C196" t="s">
        <v>210</v>
      </c>
      <c r="D196" t="s">
        <v>211</v>
      </c>
      <c r="E196" t="s">
        <v>415</v>
      </c>
      <c r="F196" t="s">
        <v>416</v>
      </c>
      <c r="G196" t="s">
        <v>464</v>
      </c>
      <c r="H196">
        <v>2508903</v>
      </c>
      <c r="I196" t="s">
        <v>214</v>
      </c>
      <c r="J196" s="14">
        <v>46094</v>
      </c>
      <c r="K196" t="s">
        <v>418</v>
      </c>
      <c r="L196" t="e">
        <f>VLOOKUP(H196,Sheet1!H:H,1,0)</f>
        <v>#N/A</v>
      </c>
    </row>
    <row r="197" spans="1:12">
      <c r="A197" t="s">
        <v>208</v>
      </c>
      <c r="B197" t="s">
        <v>324</v>
      </c>
      <c r="C197" t="s">
        <v>210</v>
      </c>
      <c r="D197" t="s">
        <v>211</v>
      </c>
      <c r="E197" t="s">
        <v>224</v>
      </c>
      <c r="F197" t="s">
        <v>416</v>
      </c>
      <c r="G197" t="s">
        <v>418</v>
      </c>
      <c r="H197">
        <v>1347403</v>
      </c>
      <c r="I197" t="s">
        <v>465</v>
      </c>
      <c r="J197" s="14">
        <v>41519</v>
      </c>
      <c r="K197" t="s">
        <v>226</v>
      </c>
      <c r="L197" t="e">
        <f>VLOOKUP(H197,Sheet1!H:H,1,0)</f>
        <v>#N/A</v>
      </c>
    </row>
    <row r="198" spans="1:12">
      <c r="A198" t="s">
        <v>208</v>
      </c>
      <c r="B198" t="s">
        <v>324</v>
      </c>
      <c r="C198" t="s">
        <v>210</v>
      </c>
      <c r="D198" t="s">
        <v>211</v>
      </c>
      <c r="E198" t="s">
        <v>415</v>
      </c>
      <c r="F198" t="s">
        <v>416</v>
      </c>
      <c r="G198" t="s">
        <v>466</v>
      </c>
      <c r="H198">
        <v>2345003</v>
      </c>
      <c r="I198" t="s">
        <v>214</v>
      </c>
      <c r="J198" s="14">
        <v>45658</v>
      </c>
      <c r="K198" t="s">
        <v>418</v>
      </c>
      <c r="L198" t="e">
        <f>VLOOKUP(H198,Sheet1!H:H,1,0)</f>
        <v>#N/A</v>
      </c>
    </row>
    <row r="199" spans="1:12">
      <c r="A199" t="s">
        <v>208</v>
      </c>
      <c r="B199" t="s">
        <v>324</v>
      </c>
      <c r="C199" t="s">
        <v>210</v>
      </c>
      <c r="D199" t="s">
        <v>211</v>
      </c>
      <c r="E199" t="s">
        <v>467</v>
      </c>
      <c r="F199" t="s">
        <v>468</v>
      </c>
      <c r="G199" t="s">
        <v>469</v>
      </c>
      <c r="H199">
        <v>1833603</v>
      </c>
      <c r="I199" t="s">
        <v>240</v>
      </c>
      <c r="J199" s="14">
        <v>43227</v>
      </c>
      <c r="K199" t="s">
        <v>470</v>
      </c>
      <c r="L199" t="e">
        <f>VLOOKUP(H199,Sheet1!H:H,1,0)</f>
        <v>#N/A</v>
      </c>
    </row>
    <row r="200" spans="1:12">
      <c r="A200" t="s">
        <v>208</v>
      </c>
      <c r="B200" t="s">
        <v>324</v>
      </c>
      <c r="C200" t="s">
        <v>210</v>
      </c>
      <c r="D200" t="s">
        <v>211</v>
      </c>
      <c r="E200" t="s">
        <v>467</v>
      </c>
      <c r="F200" t="s">
        <v>468</v>
      </c>
      <c r="G200" t="s">
        <v>471</v>
      </c>
      <c r="H200">
        <v>2427403</v>
      </c>
      <c r="I200" t="s">
        <v>214</v>
      </c>
      <c r="J200" s="14">
        <v>45904</v>
      </c>
      <c r="K200" t="s">
        <v>470</v>
      </c>
      <c r="L200" t="e">
        <f>VLOOKUP(H200,Sheet1!H:H,1,0)</f>
        <v>#N/A</v>
      </c>
    </row>
    <row r="201" spans="1:12">
      <c r="A201" t="s">
        <v>208</v>
      </c>
      <c r="B201" t="s">
        <v>324</v>
      </c>
      <c r="C201" t="s">
        <v>429</v>
      </c>
      <c r="D201" t="s">
        <v>211</v>
      </c>
      <c r="E201" t="s">
        <v>467</v>
      </c>
      <c r="F201" t="s">
        <v>468</v>
      </c>
      <c r="G201" t="s">
        <v>472</v>
      </c>
      <c r="H201">
        <v>2511003</v>
      </c>
      <c r="I201" t="s">
        <v>220</v>
      </c>
      <c r="J201" s="14">
        <v>46101</v>
      </c>
      <c r="K201" t="s">
        <v>470</v>
      </c>
      <c r="L201" t="e">
        <f>VLOOKUP(H201,Sheet1!H:H,1,0)</f>
        <v>#N/A</v>
      </c>
    </row>
    <row r="202" spans="1:12">
      <c r="A202" t="s">
        <v>208</v>
      </c>
      <c r="B202" t="s">
        <v>324</v>
      </c>
      <c r="C202" t="s">
        <v>210</v>
      </c>
      <c r="D202" t="s">
        <v>211</v>
      </c>
      <c r="E202" t="s">
        <v>467</v>
      </c>
      <c r="F202" t="s">
        <v>468</v>
      </c>
      <c r="G202" t="s">
        <v>473</v>
      </c>
      <c r="H202">
        <v>2479903</v>
      </c>
      <c r="I202" t="s">
        <v>214</v>
      </c>
      <c r="J202" s="14">
        <v>46054</v>
      </c>
      <c r="K202" t="s">
        <v>470</v>
      </c>
      <c r="L202" t="e">
        <f>VLOOKUP(H202,Sheet1!H:H,1,0)</f>
        <v>#N/A</v>
      </c>
    </row>
    <row r="203" spans="1:12">
      <c r="A203" t="s">
        <v>208</v>
      </c>
      <c r="B203" t="s">
        <v>324</v>
      </c>
      <c r="C203" t="s">
        <v>210</v>
      </c>
      <c r="D203" t="s">
        <v>211</v>
      </c>
      <c r="E203" t="s">
        <v>467</v>
      </c>
      <c r="F203" t="s">
        <v>468</v>
      </c>
      <c r="G203" t="s">
        <v>474</v>
      </c>
      <c r="H203">
        <v>2495403</v>
      </c>
      <c r="I203" t="s">
        <v>214</v>
      </c>
      <c r="J203" s="14">
        <v>46045</v>
      </c>
      <c r="K203" t="s">
        <v>470</v>
      </c>
      <c r="L203" t="e">
        <f>VLOOKUP(H203,Sheet1!H:H,1,0)</f>
        <v>#N/A</v>
      </c>
    </row>
    <row r="204" spans="1:12">
      <c r="A204" t="s">
        <v>208</v>
      </c>
      <c r="B204" t="s">
        <v>324</v>
      </c>
      <c r="C204" t="s">
        <v>210</v>
      </c>
      <c r="D204" t="s">
        <v>287</v>
      </c>
      <c r="E204" t="s">
        <v>288</v>
      </c>
      <c r="F204" t="s">
        <v>468</v>
      </c>
      <c r="G204" t="s">
        <v>226</v>
      </c>
      <c r="H204">
        <v>1453603</v>
      </c>
      <c r="I204" t="s">
        <v>475</v>
      </c>
      <c r="J204" s="14">
        <v>41821</v>
      </c>
      <c r="K204" t="s">
        <v>226</v>
      </c>
      <c r="L204" t="e">
        <f>VLOOKUP(H204,Sheet1!H:H,1,0)</f>
        <v>#N/A</v>
      </c>
    </row>
    <row r="205" spans="1:12">
      <c r="A205" t="s">
        <v>208</v>
      </c>
      <c r="B205" t="s">
        <v>324</v>
      </c>
      <c r="C205" t="s">
        <v>210</v>
      </c>
      <c r="D205" t="s">
        <v>211</v>
      </c>
      <c r="E205" t="s">
        <v>467</v>
      </c>
      <c r="F205" t="s">
        <v>468</v>
      </c>
      <c r="G205" t="s">
        <v>476</v>
      </c>
      <c r="H205">
        <v>2353303</v>
      </c>
      <c r="I205" t="s">
        <v>214</v>
      </c>
      <c r="J205" s="14">
        <v>45673</v>
      </c>
      <c r="K205" t="s">
        <v>470</v>
      </c>
      <c r="L205" t="e">
        <f>VLOOKUP(H205,Sheet1!H:H,1,0)</f>
        <v>#N/A</v>
      </c>
    </row>
    <row r="206" spans="1:12">
      <c r="A206" t="s">
        <v>208</v>
      </c>
      <c r="B206" t="s">
        <v>324</v>
      </c>
      <c r="C206" t="s">
        <v>210</v>
      </c>
      <c r="D206" t="s">
        <v>287</v>
      </c>
      <c r="E206" t="s">
        <v>288</v>
      </c>
      <c r="F206" t="s">
        <v>468</v>
      </c>
      <c r="G206" t="s">
        <v>477</v>
      </c>
      <c r="H206">
        <v>2142703</v>
      </c>
      <c r="I206" t="s">
        <v>478</v>
      </c>
      <c r="J206" s="14">
        <v>45916</v>
      </c>
      <c r="K206" t="s">
        <v>226</v>
      </c>
      <c r="L206">
        <f>VLOOKUP(H206,Sheet1!H:H,1,0)</f>
        <v>2142703</v>
      </c>
    </row>
    <row r="207" spans="1:12">
      <c r="A207" t="s">
        <v>208</v>
      </c>
      <c r="B207" t="s">
        <v>324</v>
      </c>
      <c r="C207" t="s">
        <v>210</v>
      </c>
      <c r="D207" t="s">
        <v>211</v>
      </c>
      <c r="E207" t="s">
        <v>467</v>
      </c>
      <c r="F207" t="s">
        <v>468</v>
      </c>
      <c r="G207" t="s">
        <v>479</v>
      </c>
      <c r="H207">
        <v>2506403</v>
      </c>
      <c r="I207" t="s">
        <v>214</v>
      </c>
      <c r="J207" s="14">
        <v>46091</v>
      </c>
      <c r="K207" t="s">
        <v>470</v>
      </c>
      <c r="L207" t="e">
        <f>VLOOKUP(H207,Sheet1!H:H,1,0)</f>
        <v>#N/A</v>
      </c>
    </row>
    <row r="208" spans="1:12">
      <c r="A208" t="s">
        <v>208</v>
      </c>
      <c r="B208" t="s">
        <v>324</v>
      </c>
      <c r="C208" t="s">
        <v>210</v>
      </c>
      <c r="D208" t="s">
        <v>211</v>
      </c>
      <c r="E208" t="s">
        <v>467</v>
      </c>
      <c r="F208" t="s">
        <v>468</v>
      </c>
      <c r="G208" t="s">
        <v>480</v>
      </c>
      <c r="H208">
        <v>2424003</v>
      </c>
      <c r="I208" t="s">
        <v>220</v>
      </c>
      <c r="J208" s="14">
        <v>45891</v>
      </c>
      <c r="K208" t="s">
        <v>470</v>
      </c>
      <c r="L208" t="e">
        <f>VLOOKUP(H208,Sheet1!H:H,1,0)</f>
        <v>#N/A</v>
      </c>
    </row>
    <row r="209" spans="1:12">
      <c r="A209" t="s">
        <v>208</v>
      </c>
      <c r="B209" t="s">
        <v>324</v>
      </c>
      <c r="C209" t="s">
        <v>210</v>
      </c>
      <c r="D209" t="s">
        <v>211</v>
      </c>
      <c r="E209" t="s">
        <v>467</v>
      </c>
      <c r="F209" t="s">
        <v>468</v>
      </c>
      <c r="G209" t="s">
        <v>481</v>
      </c>
      <c r="H209">
        <v>2427703</v>
      </c>
      <c r="I209" t="s">
        <v>214</v>
      </c>
      <c r="J209" s="14">
        <v>45904</v>
      </c>
      <c r="K209" t="s">
        <v>470</v>
      </c>
      <c r="L209" t="e">
        <f>VLOOKUP(H209,Sheet1!H:H,1,0)</f>
        <v>#N/A</v>
      </c>
    </row>
    <row r="210" spans="1:12">
      <c r="A210" t="s">
        <v>208</v>
      </c>
      <c r="B210" t="s">
        <v>324</v>
      </c>
      <c r="C210" t="s">
        <v>210</v>
      </c>
      <c r="D210" t="s">
        <v>211</v>
      </c>
      <c r="E210" t="s">
        <v>467</v>
      </c>
      <c r="F210" t="s">
        <v>468</v>
      </c>
      <c r="G210" t="s">
        <v>482</v>
      </c>
      <c r="H210">
        <v>2476803</v>
      </c>
      <c r="I210" t="s">
        <v>214</v>
      </c>
      <c r="J210" s="14">
        <v>46023</v>
      </c>
      <c r="K210" t="s">
        <v>470</v>
      </c>
      <c r="L210" t="e">
        <f>VLOOKUP(H210,Sheet1!H:H,1,0)</f>
        <v>#N/A</v>
      </c>
    </row>
    <row r="211" spans="1:12">
      <c r="A211" t="s">
        <v>208</v>
      </c>
      <c r="B211" t="s">
        <v>324</v>
      </c>
      <c r="C211" t="s">
        <v>210</v>
      </c>
      <c r="D211" t="s">
        <v>211</v>
      </c>
      <c r="E211" t="s">
        <v>467</v>
      </c>
      <c r="F211" t="s">
        <v>468</v>
      </c>
      <c r="G211" t="s">
        <v>483</v>
      </c>
      <c r="H211">
        <v>2385003</v>
      </c>
      <c r="I211" t="s">
        <v>214</v>
      </c>
      <c r="J211" s="14">
        <v>45673</v>
      </c>
      <c r="K211" t="s">
        <v>470</v>
      </c>
      <c r="L211" t="e">
        <f>VLOOKUP(H211,Sheet1!H:H,1,0)</f>
        <v>#N/A</v>
      </c>
    </row>
    <row r="212" spans="1:12">
      <c r="A212" t="s">
        <v>208</v>
      </c>
      <c r="B212" t="s">
        <v>324</v>
      </c>
      <c r="C212" t="s">
        <v>210</v>
      </c>
      <c r="D212" t="s">
        <v>211</v>
      </c>
      <c r="E212" t="s">
        <v>467</v>
      </c>
      <c r="F212" t="s">
        <v>468</v>
      </c>
      <c r="G212" t="s">
        <v>484</v>
      </c>
      <c r="H212">
        <v>2511303</v>
      </c>
      <c r="I212" t="s">
        <v>220</v>
      </c>
      <c r="J212" s="14">
        <v>46099</v>
      </c>
      <c r="K212" t="s">
        <v>470</v>
      </c>
      <c r="L212" t="e">
        <f>VLOOKUP(H212,Sheet1!H:H,1,0)</f>
        <v>#N/A</v>
      </c>
    </row>
    <row r="213" spans="1:12">
      <c r="A213" t="s">
        <v>208</v>
      </c>
      <c r="B213" t="s">
        <v>324</v>
      </c>
      <c r="C213" t="s">
        <v>210</v>
      </c>
      <c r="D213" t="s">
        <v>211</v>
      </c>
      <c r="E213" t="s">
        <v>467</v>
      </c>
      <c r="F213" t="s">
        <v>468</v>
      </c>
      <c r="G213" t="s">
        <v>485</v>
      </c>
      <c r="H213">
        <v>2509303</v>
      </c>
      <c r="I213" t="s">
        <v>214</v>
      </c>
      <c r="J213" s="14">
        <v>46099</v>
      </c>
      <c r="K213" t="s">
        <v>470</v>
      </c>
      <c r="L213" t="e">
        <f>VLOOKUP(H213,Sheet1!H:H,1,0)</f>
        <v>#N/A</v>
      </c>
    </row>
    <row r="214" spans="1:12">
      <c r="A214" t="s">
        <v>208</v>
      </c>
      <c r="B214" t="s">
        <v>324</v>
      </c>
      <c r="C214" t="s">
        <v>210</v>
      </c>
      <c r="D214" t="s">
        <v>211</v>
      </c>
      <c r="E214" t="s">
        <v>467</v>
      </c>
      <c r="F214" t="s">
        <v>468</v>
      </c>
      <c r="G214" t="s">
        <v>486</v>
      </c>
      <c r="H214">
        <v>2482503</v>
      </c>
      <c r="I214" t="s">
        <v>214</v>
      </c>
      <c r="J214" s="14">
        <v>46023</v>
      </c>
      <c r="K214" t="s">
        <v>470</v>
      </c>
      <c r="L214" t="e">
        <f>VLOOKUP(H214,Sheet1!H:H,1,0)</f>
        <v>#N/A</v>
      </c>
    </row>
    <row r="215" spans="1:12">
      <c r="A215" t="s">
        <v>208</v>
      </c>
      <c r="B215" t="s">
        <v>324</v>
      </c>
      <c r="C215" t="s">
        <v>429</v>
      </c>
      <c r="D215" t="s">
        <v>211</v>
      </c>
      <c r="E215" t="s">
        <v>467</v>
      </c>
      <c r="F215" t="s">
        <v>468</v>
      </c>
      <c r="G215" t="s">
        <v>487</v>
      </c>
      <c r="H215">
        <v>2430303</v>
      </c>
      <c r="I215" t="s">
        <v>220</v>
      </c>
      <c r="J215" s="14">
        <v>45919</v>
      </c>
      <c r="K215" t="s">
        <v>470</v>
      </c>
      <c r="L215" t="e">
        <f>VLOOKUP(H215,Sheet1!H:H,1,0)</f>
        <v>#N/A</v>
      </c>
    </row>
    <row r="216" spans="1:12">
      <c r="A216" t="s">
        <v>208</v>
      </c>
      <c r="B216" t="s">
        <v>324</v>
      </c>
      <c r="C216" t="s">
        <v>210</v>
      </c>
      <c r="D216" t="s">
        <v>287</v>
      </c>
      <c r="E216" t="s">
        <v>224</v>
      </c>
      <c r="F216" t="s">
        <v>468</v>
      </c>
      <c r="G216" t="s">
        <v>309</v>
      </c>
      <c r="H216">
        <v>1034403</v>
      </c>
      <c r="I216" t="s">
        <v>488</v>
      </c>
      <c r="J216" s="14">
        <v>39559</v>
      </c>
      <c r="K216" t="s">
        <v>226</v>
      </c>
      <c r="L216" t="e">
        <f>VLOOKUP(H216,Sheet1!H:H,1,0)</f>
        <v>#N/A</v>
      </c>
    </row>
    <row r="217" spans="1:12">
      <c r="A217" t="s">
        <v>208</v>
      </c>
      <c r="B217" t="s">
        <v>324</v>
      </c>
      <c r="C217" t="s">
        <v>429</v>
      </c>
      <c r="D217" t="s">
        <v>211</v>
      </c>
      <c r="E217" t="s">
        <v>467</v>
      </c>
      <c r="F217" t="s">
        <v>468</v>
      </c>
      <c r="G217" t="s">
        <v>489</v>
      </c>
      <c r="H217">
        <v>2076803</v>
      </c>
      <c r="I217" t="s">
        <v>490</v>
      </c>
      <c r="J217" s="14">
        <v>44621</v>
      </c>
      <c r="K217" t="s">
        <v>470</v>
      </c>
      <c r="L217" t="e">
        <f>VLOOKUP(H217,Sheet1!H:H,1,0)</f>
        <v>#N/A</v>
      </c>
    </row>
    <row r="218" spans="1:12">
      <c r="A218" t="s">
        <v>208</v>
      </c>
      <c r="B218" t="s">
        <v>324</v>
      </c>
      <c r="C218" t="s">
        <v>210</v>
      </c>
      <c r="D218" t="s">
        <v>211</v>
      </c>
      <c r="E218" t="s">
        <v>467</v>
      </c>
      <c r="F218" t="s">
        <v>468</v>
      </c>
      <c r="G218" t="s">
        <v>491</v>
      </c>
      <c r="H218">
        <v>2301903</v>
      </c>
      <c r="I218" t="s">
        <v>214</v>
      </c>
      <c r="J218" s="14">
        <v>45505</v>
      </c>
      <c r="K218" t="s">
        <v>470</v>
      </c>
      <c r="L218" t="e">
        <f>VLOOKUP(H218,Sheet1!H:H,1,0)</f>
        <v>#N/A</v>
      </c>
    </row>
    <row r="219" spans="1:12">
      <c r="A219" t="s">
        <v>208</v>
      </c>
      <c r="B219" t="s">
        <v>324</v>
      </c>
      <c r="C219" t="s">
        <v>210</v>
      </c>
      <c r="D219" t="s">
        <v>211</v>
      </c>
      <c r="E219" t="s">
        <v>467</v>
      </c>
      <c r="F219" t="s">
        <v>468</v>
      </c>
      <c r="G219" t="s">
        <v>492</v>
      </c>
      <c r="H219">
        <v>2509403</v>
      </c>
      <c r="I219" t="s">
        <v>220</v>
      </c>
      <c r="J219" s="14">
        <v>46099</v>
      </c>
      <c r="K219" t="s">
        <v>470</v>
      </c>
      <c r="L219" t="e">
        <f>VLOOKUP(H219,Sheet1!H:H,1,0)</f>
        <v>#N/A</v>
      </c>
    </row>
    <row r="220" spans="1:12">
      <c r="A220" t="s">
        <v>208</v>
      </c>
      <c r="B220" t="s">
        <v>324</v>
      </c>
      <c r="C220" t="s">
        <v>210</v>
      </c>
      <c r="D220" t="s">
        <v>211</v>
      </c>
      <c r="E220" t="s">
        <v>467</v>
      </c>
      <c r="F220" t="s">
        <v>468</v>
      </c>
      <c r="G220" t="s">
        <v>493</v>
      </c>
      <c r="H220">
        <v>2501803</v>
      </c>
      <c r="I220" t="s">
        <v>214</v>
      </c>
      <c r="J220" s="14">
        <v>46069</v>
      </c>
      <c r="K220" t="s">
        <v>470</v>
      </c>
      <c r="L220" t="e">
        <f>VLOOKUP(H220,Sheet1!H:H,1,0)</f>
        <v>#N/A</v>
      </c>
    </row>
    <row r="221" spans="1:12">
      <c r="A221" t="s">
        <v>208</v>
      </c>
      <c r="B221" t="s">
        <v>324</v>
      </c>
      <c r="C221" t="s">
        <v>210</v>
      </c>
      <c r="D221" t="s">
        <v>211</v>
      </c>
      <c r="E221" t="s">
        <v>467</v>
      </c>
      <c r="F221" t="s">
        <v>468</v>
      </c>
      <c r="G221" t="s">
        <v>494</v>
      </c>
      <c r="H221">
        <v>2482703</v>
      </c>
      <c r="I221" t="s">
        <v>214</v>
      </c>
      <c r="J221" s="14">
        <v>46054</v>
      </c>
      <c r="K221" t="s">
        <v>470</v>
      </c>
      <c r="L221" t="e">
        <f>VLOOKUP(H221,Sheet1!H:H,1,0)</f>
        <v>#N/A</v>
      </c>
    </row>
    <row r="222" spans="1:12">
      <c r="A222" t="s">
        <v>208</v>
      </c>
      <c r="B222" t="s">
        <v>324</v>
      </c>
      <c r="C222" t="s">
        <v>210</v>
      </c>
      <c r="D222" t="s">
        <v>211</v>
      </c>
      <c r="E222" t="s">
        <v>467</v>
      </c>
      <c r="F222" t="s">
        <v>468</v>
      </c>
      <c r="G222" t="s">
        <v>495</v>
      </c>
      <c r="H222">
        <v>2363903</v>
      </c>
      <c r="I222" t="s">
        <v>214</v>
      </c>
      <c r="J222" s="14">
        <v>45673</v>
      </c>
      <c r="K222" t="s">
        <v>470</v>
      </c>
      <c r="L222" t="e">
        <f>VLOOKUP(H222,Sheet1!H:H,1,0)</f>
        <v>#N/A</v>
      </c>
    </row>
    <row r="223" spans="1:12">
      <c r="A223" t="s">
        <v>208</v>
      </c>
      <c r="B223" t="s">
        <v>324</v>
      </c>
      <c r="C223" t="s">
        <v>210</v>
      </c>
      <c r="D223" t="s">
        <v>211</v>
      </c>
      <c r="E223" t="s">
        <v>467</v>
      </c>
      <c r="F223" t="s">
        <v>468</v>
      </c>
      <c r="G223" t="s">
        <v>496</v>
      </c>
      <c r="H223">
        <v>2264803</v>
      </c>
      <c r="I223" t="s">
        <v>214</v>
      </c>
      <c r="J223" s="14">
        <v>45505</v>
      </c>
      <c r="K223" t="s">
        <v>470</v>
      </c>
      <c r="L223" t="e">
        <f>VLOOKUP(H223,Sheet1!H:H,1,0)</f>
        <v>#N/A</v>
      </c>
    </row>
    <row r="224" spans="1:12">
      <c r="A224" t="s">
        <v>208</v>
      </c>
      <c r="B224" t="s">
        <v>324</v>
      </c>
      <c r="C224" t="s">
        <v>210</v>
      </c>
      <c r="D224" t="s">
        <v>211</v>
      </c>
      <c r="E224" t="s">
        <v>467</v>
      </c>
      <c r="F224" t="s">
        <v>468</v>
      </c>
      <c r="G224" t="s">
        <v>497</v>
      </c>
      <c r="H224">
        <v>2403203</v>
      </c>
      <c r="I224" t="s">
        <v>214</v>
      </c>
      <c r="J224" s="14">
        <v>45779</v>
      </c>
      <c r="K224" t="s">
        <v>470</v>
      </c>
      <c r="L224" t="e">
        <f>VLOOKUP(H224,Sheet1!H:H,1,0)</f>
        <v>#N/A</v>
      </c>
    </row>
    <row r="225" spans="1:12">
      <c r="A225" t="s">
        <v>208</v>
      </c>
      <c r="B225" t="s">
        <v>324</v>
      </c>
      <c r="C225" t="s">
        <v>210</v>
      </c>
      <c r="D225" t="s">
        <v>287</v>
      </c>
      <c r="E225" t="s">
        <v>310</v>
      </c>
      <c r="F225" t="s">
        <v>468</v>
      </c>
      <c r="G225" t="s">
        <v>498</v>
      </c>
      <c r="H225">
        <v>2416203</v>
      </c>
      <c r="I225" t="s">
        <v>316</v>
      </c>
      <c r="J225" s="14">
        <v>45839</v>
      </c>
      <c r="K225" t="s">
        <v>309</v>
      </c>
      <c r="L225" t="e">
        <f>VLOOKUP(H225,Sheet1!H:H,1,0)</f>
        <v>#N/A</v>
      </c>
    </row>
    <row r="226" spans="1:12">
      <c r="A226" t="s">
        <v>208</v>
      </c>
      <c r="B226" t="s">
        <v>324</v>
      </c>
      <c r="C226" t="s">
        <v>210</v>
      </c>
      <c r="D226" t="s">
        <v>211</v>
      </c>
      <c r="E226" t="s">
        <v>467</v>
      </c>
      <c r="F226" t="s">
        <v>468</v>
      </c>
      <c r="G226" t="s">
        <v>499</v>
      </c>
      <c r="H226">
        <v>2407403</v>
      </c>
      <c r="I226" t="s">
        <v>220</v>
      </c>
      <c r="J226" s="14">
        <v>45870</v>
      </c>
      <c r="K226" t="s">
        <v>470</v>
      </c>
      <c r="L226" t="e">
        <f>VLOOKUP(H226,Sheet1!H:H,1,0)</f>
        <v>#N/A</v>
      </c>
    </row>
    <row r="227" spans="1:12">
      <c r="A227" t="s">
        <v>208</v>
      </c>
      <c r="B227" t="s">
        <v>324</v>
      </c>
      <c r="C227" t="s">
        <v>210</v>
      </c>
      <c r="D227" t="s">
        <v>211</v>
      </c>
      <c r="E227" t="s">
        <v>467</v>
      </c>
      <c r="F227" t="s">
        <v>468</v>
      </c>
      <c r="G227" t="s">
        <v>500</v>
      </c>
      <c r="H227">
        <v>2405003</v>
      </c>
      <c r="I227" t="s">
        <v>214</v>
      </c>
      <c r="J227" s="14">
        <v>45792</v>
      </c>
      <c r="K227" t="s">
        <v>470</v>
      </c>
      <c r="L227" t="e">
        <f>VLOOKUP(H227,Sheet1!H:H,1,0)</f>
        <v>#N/A</v>
      </c>
    </row>
    <row r="228" spans="1:12">
      <c r="A228" t="s">
        <v>208</v>
      </c>
      <c r="B228" t="s">
        <v>324</v>
      </c>
      <c r="C228" t="s">
        <v>210</v>
      </c>
      <c r="D228" t="s">
        <v>211</v>
      </c>
      <c r="E228" t="s">
        <v>467</v>
      </c>
      <c r="F228" t="s">
        <v>468</v>
      </c>
      <c r="G228" t="s">
        <v>501</v>
      </c>
      <c r="H228">
        <v>1814303</v>
      </c>
      <c r="I228" t="s">
        <v>502</v>
      </c>
      <c r="J228" s="14">
        <v>43122</v>
      </c>
      <c r="K228" t="s">
        <v>470</v>
      </c>
      <c r="L228" t="e">
        <f>VLOOKUP(H228,Sheet1!H:H,1,0)</f>
        <v>#N/A</v>
      </c>
    </row>
    <row r="229" spans="1:12">
      <c r="A229" t="s">
        <v>208</v>
      </c>
      <c r="B229" t="s">
        <v>324</v>
      </c>
      <c r="C229" t="s">
        <v>210</v>
      </c>
      <c r="D229" t="s">
        <v>211</v>
      </c>
      <c r="E229" t="s">
        <v>467</v>
      </c>
      <c r="F229" t="s">
        <v>468</v>
      </c>
      <c r="G229" t="s">
        <v>503</v>
      </c>
      <c r="H229">
        <v>2264603</v>
      </c>
      <c r="I229" t="s">
        <v>214</v>
      </c>
      <c r="J229" s="14">
        <v>46069</v>
      </c>
      <c r="K229" t="s">
        <v>470</v>
      </c>
      <c r="L229" t="e">
        <f>VLOOKUP(H229,Sheet1!H:H,1,0)</f>
        <v>#N/A</v>
      </c>
    </row>
    <row r="230" spans="1:12">
      <c r="A230" t="s">
        <v>208</v>
      </c>
      <c r="B230" t="s">
        <v>324</v>
      </c>
      <c r="C230" t="s">
        <v>210</v>
      </c>
      <c r="D230" t="s">
        <v>211</v>
      </c>
      <c r="E230" t="s">
        <v>467</v>
      </c>
      <c r="F230" t="s">
        <v>468</v>
      </c>
      <c r="G230" t="s">
        <v>504</v>
      </c>
      <c r="H230">
        <v>2506203</v>
      </c>
      <c r="I230" t="s">
        <v>214</v>
      </c>
      <c r="J230" s="14">
        <v>46090</v>
      </c>
      <c r="K230" t="s">
        <v>470</v>
      </c>
      <c r="L230" t="e">
        <f>VLOOKUP(H230,Sheet1!H:H,1,0)</f>
        <v>#N/A</v>
      </c>
    </row>
    <row r="231" spans="1:12">
      <c r="A231" t="s">
        <v>208</v>
      </c>
      <c r="B231" t="s">
        <v>324</v>
      </c>
      <c r="C231" t="s">
        <v>210</v>
      </c>
      <c r="D231" t="s">
        <v>211</v>
      </c>
      <c r="E231" t="s">
        <v>467</v>
      </c>
      <c r="F231" t="s">
        <v>468</v>
      </c>
      <c r="G231" t="s">
        <v>505</v>
      </c>
      <c r="H231">
        <v>2194903</v>
      </c>
      <c r="I231" t="s">
        <v>214</v>
      </c>
      <c r="J231" s="14">
        <v>45005</v>
      </c>
      <c r="K231" t="s">
        <v>470</v>
      </c>
      <c r="L231" t="e">
        <f>VLOOKUP(H231,Sheet1!H:H,1,0)</f>
        <v>#N/A</v>
      </c>
    </row>
    <row r="232" spans="1:12">
      <c r="A232" t="s">
        <v>208</v>
      </c>
      <c r="B232" t="s">
        <v>324</v>
      </c>
      <c r="C232" t="s">
        <v>210</v>
      </c>
      <c r="D232" t="s">
        <v>211</v>
      </c>
      <c r="E232" t="s">
        <v>467</v>
      </c>
      <c r="F232" t="s">
        <v>468</v>
      </c>
      <c r="G232" t="s">
        <v>506</v>
      </c>
      <c r="H232">
        <v>2004803</v>
      </c>
      <c r="I232" t="s">
        <v>507</v>
      </c>
      <c r="J232" s="14">
        <v>44317</v>
      </c>
      <c r="K232" t="s">
        <v>470</v>
      </c>
      <c r="L232" t="e">
        <f>VLOOKUP(H232,Sheet1!H:H,1,0)</f>
        <v>#N/A</v>
      </c>
    </row>
    <row r="233" spans="1:12">
      <c r="A233" t="s">
        <v>208</v>
      </c>
      <c r="B233" t="s">
        <v>324</v>
      </c>
      <c r="C233" t="s">
        <v>210</v>
      </c>
      <c r="D233" t="s">
        <v>211</v>
      </c>
      <c r="E233" t="s">
        <v>467</v>
      </c>
      <c r="F233" t="s">
        <v>468</v>
      </c>
      <c r="G233" t="s">
        <v>508</v>
      </c>
      <c r="H233">
        <v>1956103</v>
      </c>
      <c r="I233" t="s">
        <v>214</v>
      </c>
      <c r="J233" s="14">
        <v>44758</v>
      </c>
      <c r="K233" t="s">
        <v>470</v>
      </c>
      <c r="L233" t="e">
        <f>VLOOKUP(H233,Sheet1!H:H,1,0)</f>
        <v>#N/A</v>
      </c>
    </row>
    <row r="234" spans="1:12">
      <c r="A234" t="s">
        <v>208</v>
      </c>
      <c r="B234" t="s">
        <v>324</v>
      </c>
      <c r="C234" t="s">
        <v>210</v>
      </c>
      <c r="D234" t="s">
        <v>287</v>
      </c>
      <c r="E234" t="s">
        <v>288</v>
      </c>
      <c r="F234" t="s">
        <v>468</v>
      </c>
      <c r="G234" t="s">
        <v>509</v>
      </c>
      <c r="H234">
        <v>1024703</v>
      </c>
      <c r="I234" t="s">
        <v>510</v>
      </c>
      <c r="J234" s="14">
        <v>39342</v>
      </c>
      <c r="K234" t="s">
        <v>226</v>
      </c>
      <c r="L234" t="e">
        <f>VLOOKUP(H234,Sheet1!H:H,1,0)</f>
        <v>#N/A</v>
      </c>
    </row>
    <row r="235" spans="1:12">
      <c r="A235" t="s">
        <v>208</v>
      </c>
      <c r="B235" t="s">
        <v>324</v>
      </c>
      <c r="C235" t="s">
        <v>210</v>
      </c>
      <c r="D235" t="s">
        <v>211</v>
      </c>
      <c r="E235" t="s">
        <v>467</v>
      </c>
      <c r="F235" t="s">
        <v>468</v>
      </c>
      <c r="G235" t="s">
        <v>511</v>
      </c>
      <c r="H235">
        <v>2302203</v>
      </c>
      <c r="I235" t="s">
        <v>422</v>
      </c>
      <c r="J235" s="14">
        <v>45505</v>
      </c>
      <c r="K235" t="s">
        <v>470</v>
      </c>
      <c r="L235" t="e">
        <f>VLOOKUP(H235,Sheet1!H:H,1,0)</f>
        <v>#N/A</v>
      </c>
    </row>
    <row r="236" spans="1:12">
      <c r="A236" t="s">
        <v>208</v>
      </c>
      <c r="B236" t="s">
        <v>324</v>
      </c>
      <c r="C236" t="s">
        <v>210</v>
      </c>
      <c r="D236" t="s">
        <v>211</v>
      </c>
      <c r="E236" t="s">
        <v>467</v>
      </c>
      <c r="F236" t="s">
        <v>468</v>
      </c>
      <c r="G236" t="s">
        <v>512</v>
      </c>
      <c r="H236">
        <v>2377803</v>
      </c>
      <c r="I236" t="s">
        <v>424</v>
      </c>
      <c r="J236" s="14">
        <v>45673</v>
      </c>
      <c r="K236" t="s">
        <v>470</v>
      </c>
      <c r="L236" t="e">
        <f>VLOOKUP(H236,Sheet1!H:H,1,0)</f>
        <v>#N/A</v>
      </c>
    </row>
    <row r="237" spans="1:12">
      <c r="A237" t="s">
        <v>208</v>
      </c>
      <c r="B237" t="s">
        <v>324</v>
      </c>
      <c r="C237" t="s">
        <v>210</v>
      </c>
      <c r="D237" t="s">
        <v>211</v>
      </c>
      <c r="E237" t="s">
        <v>467</v>
      </c>
      <c r="F237" t="s">
        <v>468</v>
      </c>
      <c r="G237" t="s">
        <v>513</v>
      </c>
      <c r="H237">
        <v>2215303</v>
      </c>
      <c r="I237" t="s">
        <v>214</v>
      </c>
      <c r="J237" s="14">
        <v>45123</v>
      </c>
      <c r="K237" t="s">
        <v>470</v>
      </c>
      <c r="L237" t="e">
        <f>VLOOKUP(H237,Sheet1!H:H,1,0)</f>
        <v>#N/A</v>
      </c>
    </row>
    <row r="238" spans="1:12">
      <c r="A238" t="s">
        <v>208</v>
      </c>
      <c r="B238" t="s">
        <v>324</v>
      </c>
      <c r="C238" t="s">
        <v>210</v>
      </c>
      <c r="D238" t="s">
        <v>211</v>
      </c>
      <c r="E238" t="s">
        <v>467</v>
      </c>
      <c r="F238" t="s">
        <v>468</v>
      </c>
      <c r="G238" t="s">
        <v>514</v>
      </c>
      <c r="H238">
        <v>2395003</v>
      </c>
      <c r="I238" t="s">
        <v>220</v>
      </c>
      <c r="J238" s="14">
        <v>45736</v>
      </c>
      <c r="K238" t="s">
        <v>470</v>
      </c>
      <c r="L238" t="e">
        <f>VLOOKUP(H238,Sheet1!H:H,1,0)</f>
        <v>#N/A</v>
      </c>
    </row>
    <row r="239" spans="1:12">
      <c r="A239" t="s">
        <v>208</v>
      </c>
      <c r="B239" t="s">
        <v>324</v>
      </c>
      <c r="C239" t="s">
        <v>210</v>
      </c>
      <c r="D239" t="s">
        <v>211</v>
      </c>
      <c r="E239" t="s">
        <v>467</v>
      </c>
      <c r="F239" t="s">
        <v>468</v>
      </c>
      <c r="G239" t="s">
        <v>515</v>
      </c>
      <c r="H239">
        <v>2470603</v>
      </c>
      <c r="I239" t="s">
        <v>214</v>
      </c>
      <c r="J239" s="14">
        <v>46054</v>
      </c>
      <c r="K239" t="s">
        <v>470</v>
      </c>
      <c r="L239" t="e">
        <f>VLOOKUP(H239,Sheet1!H:H,1,0)</f>
        <v>#N/A</v>
      </c>
    </row>
    <row r="240" spans="1:12">
      <c r="A240" t="s">
        <v>208</v>
      </c>
      <c r="B240" t="s">
        <v>324</v>
      </c>
      <c r="C240" t="s">
        <v>210</v>
      </c>
      <c r="D240" t="s">
        <v>211</v>
      </c>
      <c r="E240" t="s">
        <v>467</v>
      </c>
      <c r="F240" t="s">
        <v>468</v>
      </c>
      <c r="G240" t="s">
        <v>516</v>
      </c>
      <c r="H240">
        <v>2497603</v>
      </c>
      <c r="I240" t="s">
        <v>214</v>
      </c>
      <c r="J240" s="14">
        <v>46051</v>
      </c>
      <c r="K240" t="s">
        <v>470</v>
      </c>
      <c r="L240" t="e">
        <f>VLOOKUP(H240,Sheet1!H:H,1,0)</f>
        <v>#N/A</v>
      </c>
    </row>
    <row r="241" spans="1:12">
      <c r="A241" t="s">
        <v>208</v>
      </c>
      <c r="B241" t="s">
        <v>324</v>
      </c>
      <c r="C241" t="s">
        <v>210</v>
      </c>
      <c r="D241" t="s">
        <v>211</v>
      </c>
      <c r="E241" t="s">
        <v>467</v>
      </c>
      <c r="F241" t="s">
        <v>468</v>
      </c>
      <c r="G241" t="s">
        <v>517</v>
      </c>
      <c r="H241">
        <v>1312303</v>
      </c>
      <c r="I241" t="s">
        <v>502</v>
      </c>
      <c r="J241" s="14">
        <v>41241</v>
      </c>
      <c r="K241" t="s">
        <v>470</v>
      </c>
      <c r="L241" t="e">
        <f>VLOOKUP(H241,Sheet1!H:H,1,0)</f>
        <v>#N/A</v>
      </c>
    </row>
    <row r="242" spans="1:12">
      <c r="A242" t="s">
        <v>208</v>
      </c>
      <c r="B242" t="s">
        <v>324</v>
      </c>
      <c r="C242" t="s">
        <v>210</v>
      </c>
      <c r="D242" t="s">
        <v>211</v>
      </c>
      <c r="E242" t="s">
        <v>467</v>
      </c>
      <c r="F242" t="s">
        <v>468</v>
      </c>
      <c r="G242" t="s">
        <v>518</v>
      </c>
      <c r="H242">
        <v>2352903</v>
      </c>
      <c r="I242" t="s">
        <v>424</v>
      </c>
      <c r="J242" s="14">
        <v>45658</v>
      </c>
      <c r="K242" t="s">
        <v>470</v>
      </c>
      <c r="L242" t="e">
        <f>VLOOKUP(H242,Sheet1!H:H,1,0)</f>
        <v>#N/A</v>
      </c>
    </row>
    <row r="243" spans="1:12">
      <c r="A243" t="s">
        <v>208</v>
      </c>
      <c r="B243" t="s">
        <v>324</v>
      </c>
      <c r="C243" t="s">
        <v>210</v>
      </c>
      <c r="D243" t="s">
        <v>211</v>
      </c>
      <c r="E243" t="s">
        <v>467</v>
      </c>
      <c r="F243" t="s">
        <v>468</v>
      </c>
      <c r="G243" t="s">
        <v>519</v>
      </c>
      <c r="H243">
        <v>2509503</v>
      </c>
      <c r="I243" t="s">
        <v>220</v>
      </c>
      <c r="J243" s="14">
        <v>46099</v>
      </c>
      <c r="K243" t="s">
        <v>470</v>
      </c>
      <c r="L243" t="e">
        <f>VLOOKUP(H243,Sheet1!H:H,1,0)</f>
        <v>#N/A</v>
      </c>
    </row>
    <row r="244" spans="1:12">
      <c r="A244" t="s">
        <v>208</v>
      </c>
      <c r="B244" t="s">
        <v>324</v>
      </c>
      <c r="C244" t="s">
        <v>210</v>
      </c>
      <c r="D244" t="s">
        <v>211</v>
      </c>
      <c r="E244" t="s">
        <v>467</v>
      </c>
      <c r="F244" t="s">
        <v>468</v>
      </c>
      <c r="G244" t="s">
        <v>520</v>
      </c>
      <c r="H244">
        <v>2416103</v>
      </c>
      <c r="I244" t="s">
        <v>220</v>
      </c>
      <c r="J244" s="14">
        <v>45870</v>
      </c>
      <c r="K244" t="s">
        <v>470</v>
      </c>
      <c r="L244" t="e">
        <f>VLOOKUP(H244,Sheet1!H:H,1,0)</f>
        <v>#N/A</v>
      </c>
    </row>
    <row r="245" spans="1:12">
      <c r="A245" t="s">
        <v>208</v>
      </c>
      <c r="B245" t="s">
        <v>324</v>
      </c>
      <c r="C245" t="s">
        <v>210</v>
      </c>
      <c r="D245" t="s">
        <v>211</v>
      </c>
      <c r="E245" t="s">
        <v>467</v>
      </c>
      <c r="F245" t="s">
        <v>468</v>
      </c>
      <c r="G245" t="s">
        <v>521</v>
      </c>
      <c r="H245">
        <v>2495703</v>
      </c>
      <c r="I245" t="s">
        <v>214</v>
      </c>
      <c r="J245" s="14">
        <v>46048</v>
      </c>
      <c r="K245" t="s">
        <v>470</v>
      </c>
      <c r="L245" t="e">
        <f>VLOOKUP(H245,Sheet1!H:H,1,0)</f>
        <v>#N/A</v>
      </c>
    </row>
    <row r="246" spans="1:12">
      <c r="A246" t="s">
        <v>208</v>
      </c>
      <c r="B246" t="s">
        <v>324</v>
      </c>
      <c r="C246" t="s">
        <v>210</v>
      </c>
      <c r="D246" t="s">
        <v>211</v>
      </c>
      <c r="E246" t="s">
        <v>467</v>
      </c>
      <c r="F246" t="s">
        <v>468</v>
      </c>
      <c r="G246" t="s">
        <v>522</v>
      </c>
      <c r="H246">
        <v>2480003</v>
      </c>
      <c r="I246" t="s">
        <v>214</v>
      </c>
      <c r="J246" s="14">
        <v>46023</v>
      </c>
      <c r="K246" t="s">
        <v>470</v>
      </c>
      <c r="L246" t="e">
        <f>VLOOKUP(H246,Sheet1!H:H,1,0)</f>
        <v>#N/A</v>
      </c>
    </row>
    <row r="247" spans="1:12">
      <c r="A247" t="s">
        <v>208</v>
      </c>
      <c r="B247" t="s">
        <v>324</v>
      </c>
      <c r="C247" t="s">
        <v>210</v>
      </c>
      <c r="D247" t="s">
        <v>211</v>
      </c>
      <c r="E247" t="s">
        <v>467</v>
      </c>
      <c r="F247" t="s">
        <v>468</v>
      </c>
      <c r="G247" t="s">
        <v>523</v>
      </c>
      <c r="H247">
        <v>2407703</v>
      </c>
      <c r="I247" t="s">
        <v>214</v>
      </c>
      <c r="J247" s="14">
        <v>45870</v>
      </c>
      <c r="K247" t="s">
        <v>470</v>
      </c>
      <c r="L247" t="e">
        <f>VLOOKUP(H247,Sheet1!H:H,1,0)</f>
        <v>#N/A</v>
      </c>
    </row>
    <row r="248" spans="1:12">
      <c r="A248" t="s">
        <v>208</v>
      </c>
      <c r="B248" t="s">
        <v>324</v>
      </c>
      <c r="C248" t="s">
        <v>210</v>
      </c>
      <c r="D248" t="s">
        <v>211</v>
      </c>
      <c r="E248" t="s">
        <v>467</v>
      </c>
      <c r="F248" t="s">
        <v>468</v>
      </c>
      <c r="G248" t="s">
        <v>524</v>
      </c>
      <c r="H248">
        <v>2435003</v>
      </c>
      <c r="I248" t="s">
        <v>214</v>
      </c>
      <c r="J248" s="14">
        <v>45930</v>
      </c>
      <c r="K248" t="s">
        <v>470</v>
      </c>
      <c r="L248" t="e">
        <f>VLOOKUP(H248,Sheet1!H:H,1,0)</f>
        <v>#N/A</v>
      </c>
    </row>
    <row r="249" spans="1:12">
      <c r="A249" t="s">
        <v>208</v>
      </c>
      <c r="B249" t="s">
        <v>324</v>
      </c>
      <c r="C249" t="s">
        <v>210</v>
      </c>
      <c r="D249" t="s">
        <v>211</v>
      </c>
      <c r="E249" t="s">
        <v>467</v>
      </c>
      <c r="F249" t="s">
        <v>468</v>
      </c>
      <c r="G249" t="s">
        <v>525</v>
      </c>
      <c r="H249">
        <v>2501703</v>
      </c>
      <c r="I249" t="s">
        <v>214</v>
      </c>
      <c r="J249" s="14">
        <v>46069</v>
      </c>
      <c r="K249" t="s">
        <v>470</v>
      </c>
      <c r="L249" t="e">
        <f>VLOOKUP(H249,Sheet1!H:H,1,0)</f>
        <v>#N/A</v>
      </c>
    </row>
    <row r="250" spans="1:12">
      <c r="A250" t="s">
        <v>208</v>
      </c>
      <c r="B250" t="s">
        <v>324</v>
      </c>
      <c r="C250" t="s">
        <v>210</v>
      </c>
      <c r="D250" t="s">
        <v>211</v>
      </c>
      <c r="E250" t="s">
        <v>467</v>
      </c>
      <c r="F250" t="s">
        <v>468</v>
      </c>
      <c r="G250" t="s">
        <v>526</v>
      </c>
      <c r="H250">
        <v>2490603</v>
      </c>
      <c r="I250" t="s">
        <v>214</v>
      </c>
      <c r="J250" s="14">
        <v>46069</v>
      </c>
      <c r="K250" t="s">
        <v>470</v>
      </c>
      <c r="L250" t="e">
        <f>VLOOKUP(H250,Sheet1!H:H,1,0)</f>
        <v>#N/A</v>
      </c>
    </row>
    <row r="251" spans="1:12">
      <c r="A251" t="s">
        <v>208</v>
      </c>
      <c r="B251" t="s">
        <v>324</v>
      </c>
      <c r="C251" t="s">
        <v>210</v>
      </c>
      <c r="D251" t="s">
        <v>211</v>
      </c>
      <c r="E251" t="s">
        <v>467</v>
      </c>
      <c r="F251" t="s">
        <v>468</v>
      </c>
      <c r="G251" t="s">
        <v>527</v>
      </c>
      <c r="H251">
        <v>2422003</v>
      </c>
      <c r="I251" t="s">
        <v>214</v>
      </c>
      <c r="J251" s="14">
        <v>45877</v>
      </c>
      <c r="K251" t="s">
        <v>470</v>
      </c>
      <c r="L251" t="e">
        <f>VLOOKUP(H251,Sheet1!H:H,1,0)</f>
        <v>#N/A</v>
      </c>
    </row>
    <row r="252" spans="1:12">
      <c r="A252" t="s">
        <v>208</v>
      </c>
      <c r="B252" t="s">
        <v>324</v>
      </c>
      <c r="C252" t="s">
        <v>210</v>
      </c>
      <c r="D252" t="s">
        <v>211</v>
      </c>
      <c r="E252" t="s">
        <v>467</v>
      </c>
      <c r="F252" t="s">
        <v>468</v>
      </c>
      <c r="G252" t="s">
        <v>528</v>
      </c>
      <c r="H252">
        <v>2405203</v>
      </c>
      <c r="I252" t="s">
        <v>220</v>
      </c>
      <c r="J252" s="14">
        <v>45792</v>
      </c>
      <c r="K252" t="s">
        <v>470</v>
      </c>
      <c r="L252" t="e">
        <f>VLOOKUP(H252,Sheet1!H:H,1,0)</f>
        <v>#N/A</v>
      </c>
    </row>
    <row r="253" spans="1:12">
      <c r="A253" t="s">
        <v>208</v>
      </c>
      <c r="B253" t="s">
        <v>324</v>
      </c>
      <c r="C253" t="s">
        <v>210</v>
      </c>
      <c r="D253" t="s">
        <v>211</v>
      </c>
      <c r="E253" t="s">
        <v>224</v>
      </c>
      <c r="F253" t="s">
        <v>468</v>
      </c>
      <c r="G253" t="s">
        <v>470</v>
      </c>
      <c r="H253">
        <v>1506603</v>
      </c>
      <c r="I253" t="s">
        <v>465</v>
      </c>
      <c r="J253" s="14">
        <v>42009</v>
      </c>
      <c r="K253" t="s">
        <v>226</v>
      </c>
      <c r="L253" t="e">
        <f>VLOOKUP(H253,Sheet1!H:H,1,0)</f>
        <v>#N/A</v>
      </c>
    </row>
    <row r="254" spans="1:12">
      <c r="A254" t="s">
        <v>208</v>
      </c>
      <c r="B254" t="s">
        <v>324</v>
      </c>
      <c r="C254" t="s">
        <v>210</v>
      </c>
      <c r="D254" t="s">
        <v>211</v>
      </c>
      <c r="E254" t="s">
        <v>467</v>
      </c>
      <c r="F254" t="s">
        <v>468</v>
      </c>
      <c r="G254" t="s">
        <v>529</v>
      </c>
      <c r="H254">
        <v>2497403</v>
      </c>
      <c r="I254" t="s">
        <v>214</v>
      </c>
      <c r="J254" s="14">
        <v>46051</v>
      </c>
      <c r="K254" t="s">
        <v>470</v>
      </c>
      <c r="L254" t="e">
        <f>VLOOKUP(H254,Sheet1!H:H,1,0)</f>
        <v>#N/A</v>
      </c>
    </row>
    <row r="255" spans="1:12">
      <c r="A255" t="s">
        <v>208</v>
      </c>
      <c r="B255" t="s">
        <v>324</v>
      </c>
      <c r="C255" t="s">
        <v>210</v>
      </c>
      <c r="D255" t="s">
        <v>211</v>
      </c>
      <c r="E255" t="s">
        <v>467</v>
      </c>
      <c r="F255" t="s">
        <v>468</v>
      </c>
      <c r="G255" t="s">
        <v>530</v>
      </c>
      <c r="H255">
        <v>2303203</v>
      </c>
      <c r="I255" t="s">
        <v>422</v>
      </c>
      <c r="J255" s="14">
        <v>45505</v>
      </c>
      <c r="K255" t="s">
        <v>470</v>
      </c>
      <c r="L255" t="e">
        <f>VLOOKUP(H255,Sheet1!H:H,1,0)</f>
        <v>#N/A</v>
      </c>
    </row>
    <row r="256" spans="1:12">
      <c r="A256" t="s">
        <v>208</v>
      </c>
      <c r="B256" t="s">
        <v>324</v>
      </c>
      <c r="C256" t="s">
        <v>210</v>
      </c>
      <c r="D256" t="s">
        <v>211</v>
      </c>
      <c r="E256" t="s">
        <v>467</v>
      </c>
      <c r="F256" t="s">
        <v>468</v>
      </c>
      <c r="G256" t="s">
        <v>531</v>
      </c>
      <c r="H256">
        <v>2488403</v>
      </c>
      <c r="I256" t="s">
        <v>220</v>
      </c>
      <c r="J256" s="14">
        <v>46069</v>
      </c>
      <c r="K256" t="s">
        <v>470</v>
      </c>
      <c r="L256" t="e">
        <f>VLOOKUP(H256,Sheet1!H:H,1,0)</f>
        <v>#N/A</v>
      </c>
    </row>
    <row r="257" spans="1:12">
      <c r="A257" t="s">
        <v>208</v>
      </c>
      <c r="B257" t="s">
        <v>324</v>
      </c>
      <c r="C257" t="s">
        <v>210</v>
      </c>
      <c r="D257" t="s">
        <v>211</v>
      </c>
      <c r="E257" t="s">
        <v>467</v>
      </c>
      <c r="F257" t="s">
        <v>468</v>
      </c>
      <c r="G257" t="s">
        <v>532</v>
      </c>
      <c r="H257">
        <v>2503903</v>
      </c>
      <c r="I257" t="s">
        <v>214</v>
      </c>
      <c r="J257" s="14">
        <v>46076</v>
      </c>
      <c r="K257" t="s">
        <v>470</v>
      </c>
      <c r="L257" t="e">
        <f>VLOOKUP(H257,Sheet1!H:H,1,0)</f>
        <v>#N/A</v>
      </c>
    </row>
    <row r="258" spans="1:12">
      <c r="A258" t="s">
        <v>208</v>
      </c>
      <c r="B258" t="s">
        <v>324</v>
      </c>
      <c r="C258" t="s">
        <v>210</v>
      </c>
      <c r="D258" t="s">
        <v>211</v>
      </c>
      <c r="E258" t="s">
        <v>467</v>
      </c>
      <c r="F258" t="s">
        <v>468</v>
      </c>
      <c r="G258" t="s">
        <v>533</v>
      </c>
      <c r="H258">
        <v>2378203</v>
      </c>
      <c r="I258" t="s">
        <v>424</v>
      </c>
      <c r="J258" s="14">
        <v>45812</v>
      </c>
      <c r="K258" t="s">
        <v>470</v>
      </c>
      <c r="L258" t="e">
        <f>VLOOKUP(H258,Sheet1!H:H,1,0)</f>
        <v>#N/A</v>
      </c>
    </row>
    <row r="259" spans="1:12">
      <c r="A259" t="s">
        <v>208</v>
      </c>
      <c r="B259" t="s">
        <v>324</v>
      </c>
      <c r="C259" t="s">
        <v>210</v>
      </c>
      <c r="D259" t="s">
        <v>211</v>
      </c>
      <c r="E259" t="s">
        <v>467</v>
      </c>
      <c r="F259" t="s">
        <v>468</v>
      </c>
      <c r="G259" t="s">
        <v>534</v>
      </c>
      <c r="H259">
        <v>2266703</v>
      </c>
      <c r="I259" t="s">
        <v>214</v>
      </c>
      <c r="J259" s="14">
        <v>45292</v>
      </c>
      <c r="K259" t="s">
        <v>470</v>
      </c>
      <c r="L259" t="e">
        <f>VLOOKUP(H259,Sheet1!H:H,1,0)</f>
        <v>#N/A</v>
      </c>
    </row>
    <row r="260" spans="1:12">
      <c r="A260" t="s">
        <v>208</v>
      </c>
      <c r="B260" t="s">
        <v>324</v>
      </c>
      <c r="C260" t="s">
        <v>210</v>
      </c>
      <c r="D260" t="s">
        <v>211</v>
      </c>
      <c r="E260" t="s">
        <v>467</v>
      </c>
      <c r="F260" t="s">
        <v>468</v>
      </c>
      <c r="G260" t="s">
        <v>535</v>
      </c>
      <c r="H260">
        <v>2484303</v>
      </c>
      <c r="I260" t="s">
        <v>214</v>
      </c>
      <c r="J260" s="14">
        <v>46023</v>
      </c>
      <c r="K260" t="s">
        <v>470</v>
      </c>
      <c r="L260" t="e">
        <f>VLOOKUP(H260,Sheet1!H:H,1,0)</f>
        <v>#N/A</v>
      </c>
    </row>
    <row r="261" spans="1:12">
      <c r="A261" t="s">
        <v>208</v>
      </c>
      <c r="B261" t="s">
        <v>324</v>
      </c>
      <c r="C261" t="s">
        <v>210</v>
      </c>
      <c r="D261" t="s">
        <v>211</v>
      </c>
      <c r="E261" t="s">
        <v>467</v>
      </c>
      <c r="F261" t="s">
        <v>468</v>
      </c>
      <c r="G261" t="s">
        <v>536</v>
      </c>
      <c r="H261">
        <v>2492703</v>
      </c>
      <c r="I261" t="s">
        <v>214</v>
      </c>
      <c r="J261" s="14">
        <v>46069</v>
      </c>
      <c r="K261" t="s">
        <v>470</v>
      </c>
      <c r="L261" t="e">
        <f>VLOOKUP(H261,Sheet1!H:H,1,0)</f>
        <v>#N/A</v>
      </c>
    </row>
    <row r="262" spans="1:12">
      <c r="A262" t="s">
        <v>208</v>
      </c>
      <c r="B262" t="s">
        <v>324</v>
      </c>
      <c r="C262" t="s">
        <v>210</v>
      </c>
      <c r="D262" t="s">
        <v>211</v>
      </c>
      <c r="E262" t="s">
        <v>467</v>
      </c>
      <c r="F262" t="s">
        <v>468</v>
      </c>
      <c r="G262" t="s">
        <v>537</v>
      </c>
      <c r="H262">
        <v>2084303</v>
      </c>
      <c r="I262" t="s">
        <v>507</v>
      </c>
      <c r="J262" s="14">
        <v>44562</v>
      </c>
      <c r="K262" t="s">
        <v>470</v>
      </c>
      <c r="L262" t="e">
        <f>VLOOKUP(H262,Sheet1!H:H,1,0)</f>
        <v>#N/A</v>
      </c>
    </row>
    <row r="263" spans="1:12">
      <c r="A263" t="s">
        <v>208</v>
      </c>
      <c r="B263" t="s">
        <v>324</v>
      </c>
      <c r="C263" t="s">
        <v>210</v>
      </c>
      <c r="D263" t="s">
        <v>211</v>
      </c>
      <c r="E263" t="s">
        <v>467</v>
      </c>
      <c r="F263" t="s">
        <v>468</v>
      </c>
      <c r="G263" t="s">
        <v>538</v>
      </c>
      <c r="H263">
        <v>2497503</v>
      </c>
      <c r="I263" t="s">
        <v>214</v>
      </c>
      <c r="J263" s="14">
        <v>46051</v>
      </c>
      <c r="K263" t="s">
        <v>470</v>
      </c>
      <c r="L263" t="e">
        <f>VLOOKUP(H263,Sheet1!H:H,1,0)</f>
        <v>#N/A</v>
      </c>
    </row>
    <row r="264" spans="1:12">
      <c r="A264" t="s">
        <v>208</v>
      </c>
      <c r="B264" t="s">
        <v>324</v>
      </c>
      <c r="C264" t="s">
        <v>210</v>
      </c>
      <c r="D264" t="s">
        <v>211</v>
      </c>
      <c r="E264" t="s">
        <v>467</v>
      </c>
      <c r="F264" t="s">
        <v>468</v>
      </c>
      <c r="G264" t="s">
        <v>539</v>
      </c>
      <c r="H264">
        <v>2354803</v>
      </c>
      <c r="I264" t="s">
        <v>214</v>
      </c>
      <c r="J264" s="14">
        <v>45673</v>
      </c>
      <c r="K264" t="s">
        <v>470</v>
      </c>
      <c r="L264" t="e">
        <f>VLOOKUP(H264,Sheet1!H:H,1,0)</f>
        <v>#N/A</v>
      </c>
    </row>
    <row r="265" spans="1:12">
      <c r="A265" t="s">
        <v>208</v>
      </c>
      <c r="B265" t="s">
        <v>324</v>
      </c>
      <c r="C265" t="s">
        <v>210</v>
      </c>
      <c r="D265" t="s">
        <v>211</v>
      </c>
      <c r="E265" t="s">
        <v>467</v>
      </c>
      <c r="F265" t="s">
        <v>468</v>
      </c>
      <c r="G265" t="s">
        <v>540</v>
      </c>
      <c r="H265">
        <v>2495603</v>
      </c>
      <c r="I265" t="s">
        <v>214</v>
      </c>
      <c r="J265" s="14">
        <v>46045</v>
      </c>
      <c r="K265" t="s">
        <v>470</v>
      </c>
      <c r="L265" t="e">
        <f>VLOOKUP(H265,Sheet1!H:H,1,0)</f>
        <v>#N/A</v>
      </c>
    </row>
    <row r="266" spans="1:12">
      <c r="A266" t="s">
        <v>208</v>
      </c>
      <c r="B266" t="s">
        <v>324</v>
      </c>
      <c r="C266" t="s">
        <v>210</v>
      </c>
      <c r="D266" t="s">
        <v>211</v>
      </c>
      <c r="E266" t="s">
        <v>467</v>
      </c>
      <c r="F266" t="s">
        <v>468</v>
      </c>
      <c r="G266" t="s">
        <v>541</v>
      </c>
      <c r="H266">
        <v>2489703</v>
      </c>
      <c r="I266" t="s">
        <v>214</v>
      </c>
      <c r="J266" s="14">
        <v>46069</v>
      </c>
      <c r="K266" t="s">
        <v>470</v>
      </c>
      <c r="L266" t="e">
        <f>VLOOKUP(H266,Sheet1!H:H,1,0)</f>
        <v>#N/A</v>
      </c>
    </row>
    <row r="267" spans="1:12">
      <c r="A267" t="s">
        <v>208</v>
      </c>
      <c r="B267" t="s">
        <v>324</v>
      </c>
      <c r="C267" t="s">
        <v>210</v>
      </c>
      <c r="D267" t="s">
        <v>211</v>
      </c>
      <c r="E267" t="s">
        <v>467</v>
      </c>
      <c r="F267" t="s">
        <v>468</v>
      </c>
      <c r="G267" t="s">
        <v>542</v>
      </c>
      <c r="H267">
        <v>2501603</v>
      </c>
      <c r="I267" t="s">
        <v>214</v>
      </c>
      <c r="J267" s="14">
        <v>46069</v>
      </c>
      <c r="K267" t="s">
        <v>470</v>
      </c>
      <c r="L267" t="e">
        <f>VLOOKUP(H267,Sheet1!H:H,1,0)</f>
        <v>#N/A</v>
      </c>
    </row>
    <row r="268" spans="1:12">
      <c r="A268" t="s">
        <v>208</v>
      </c>
      <c r="B268" t="s">
        <v>324</v>
      </c>
      <c r="C268" t="s">
        <v>210</v>
      </c>
      <c r="D268" t="s">
        <v>211</v>
      </c>
      <c r="E268" t="s">
        <v>467</v>
      </c>
      <c r="F268" t="s">
        <v>468</v>
      </c>
      <c r="G268" t="s">
        <v>543</v>
      </c>
      <c r="H268">
        <v>2401203</v>
      </c>
      <c r="I268" t="s">
        <v>214</v>
      </c>
      <c r="J268" s="14">
        <v>45757</v>
      </c>
      <c r="K268" t="s">
        <v>470</v>
      </c>
      <c r="L268" t="e">
        <f>VLOOKUP(H268,Sheet1!H:H,1,0)</f>
        <v>#N/A</v>
      </c>
    </row>
    <row r="269" spans="1:12">
      <c r="A269" t="s">
        <v>208</v>
      </c>
      <c r="B269" t="s">
        <v>324</v>
      </c>
      <c r="C269" t="s">
        <v>210</v>
      </c>
      <c r="D269" t="s">
        <v>211</v>
      </c>
      <c r="E269" t="s">
        <v>467</v>
      </c>
      <c r="F269" t="s">
        <v>468</v>
      </c>
      <c r="G269" t="s">
        <v>544</v>
      </c>
      <c r="H269">
        <v>2108103</v>
      </c>
      <c r="I269" t="s">
        <v>214</v>
      </c>
      <c r="J269" s="14">
        <v>44701</v>
      </c>
      <c r="K269" t="s">
        <v>470</v>
      </c>
      <c r="L269" t="e">
        <f>VLOOKUP(H269,Sheet1!H:H,1,0)</f>
        <v>#N/A</v>
      </c>
    </row>
    <row r="270" spans="1:12">
      <c r="A270" t="s">
        <v>208</v>
      </c>
      <c r="B270" t="s">
        <v>324</v>
      </c>
      <c r="C270" t="s">
        <v>210</v>
      </c>
      <c r="D270" t="s">
        <v>211</v>
      </c>
      <c r="E270" t="s">
        <v>467</v>
      </c>
      <c r="F270" t="s">
        <v>468</v>
      </c>
      <c r="G270" t="s">
        <v>545</v>
      </c>
      <c r="H270">
        <v>2479003</v>
      </c>
      <c r="I270" t="s">
        <v>214</v>
      </c>
      <c r="J270" s="14">
        <v>46023</v>
      </c>
      <c r="K270" t="s">
        <v>470</v>
      </c>
      <c r="L270" t="e">
        <f>VLOOKUP(H270,Sheet1!H:H,1,0)</f>
        <v>#N/A</v>
      </c>
    </row>
    <row r="271" spans="1:12">
      <c r="A271" t="s">
        <v>208</v>
      </c>
      <c r="B271" t="s">
        <v>324</v>
      </c>
      <c r="C271" t="s">
        <v>210</v>
      </c>
      <c r="D271" t="s">
        <v>211</v>
      </c>
      <c r="E271" t="s">
        <v>467</v>
      </c>
      <c r="F271" t="s">
        <v>468</v>
      </c>
      <c r="G271" t="s">
        <v>546</v>
      </c>
      <c r="H271">
        <v>1997203</v>
      </c>
      <c r="I271" t="s">
        <v>547</v>
      </c>
      <c r="J271" s="14">
        <v>44317</v>
      </c>
      <c r="K271" t="s">
        <v>470</v>
      </c>
      <c r="L271" t="e">
        <f>VLOOKUP(H271,Sheet1!H:H,1,0)</f>
        <v>#N/A</v>
      </c>
    </row>
    <row r="272" spans="1:12">
      <c r="A272" t="s">
        <v>208</v>
      </c>
      <c r="B272" t="s">
        <v>324</v>
      </c>
      <c r="C272" t="s">
        <v>210</v>
      </c>
      <c r="D272" t="s">
        <v>211</v>
      </c>
      <c r="E272" t="s">
        <v>467</v>
      </c>
      <c r="F272" t="s">
        <v>468</v>
      </c>
      <c r="G272" t="s">
        <v>548</v>
      </c>
      <c r="H272">
        <v>2300003</v>
      </c>
      <c r="I272" t="s">
        <v>214</v>
      </c>
      <c r="J272" s="14">
        <v>45505</v>
      </c>
      <c r="K272" t="s">
        <v>470</v>
      </c>
      <c r="L272" t="e">
        <f>VLOOKUP(H272,Sheet1!H:H,1,0)</f>
        <v>#N/A</v>
      </c>
    </row>
    <row r="273" spans="1:12">
      <c r="A273" t="s">
        <v>208</v>
      </c>
      <c r="B273" t="s">
        <v>324</v>
      </c>
      <c r="C273" t="s">
        <v>210</v>
      </c>
      <c r="D273" t="s">
        <v>211</v>
      </c>
      <c r="E273" t="s">
        <v>467</v>
      </c>
      <c r="F273" t="s">
        <v>468</v>
      </c>
      <c r="G273" t="s">
        <v>549</v>
      </c>
      <c r="H273">
        <v>2476403</v>
      </c>
      <c r="I273" t="s">
        <v>220</v>
      </c>
      <c r="J273" s="14">
        <v>46023</v>
      </c>
      <c r="K273" t="s">
        <v>470</v>
      </c>
      <c r="L273" t="e">
        <f>VLOOKUP(H273,Sheet1!H:H,1,0)</f>
        <v>#N/A</v>
      </c>
    </row>
    <row r="274" spans="1:12">
      <c r="A274" t="s">
        <v>208</v>
      </c>
      <c r="B274" t="s">
        <v>324</v>
      </c>
      <c r="C274" t="s">
        <v>429</v>
      </c>
      <c r="D274" t="s">
        <v>211</v>
      </c>
      <c r="E274" t="s">
        <v>467</v>
      </c>
      <c r="F274" t="s">
        <v>468</v>
      </c>
      <c r="G274" t="s">
        <v>550</v>
      </c>
      <c r="H274">
        <v>2421903</v>
      </c>
      <c r="I274" t="s">
        <v>220</v>
      </c>
      <c r="J274" s="14">
        <v>45877</v>
      </c>
      <c r="K274" t="s">
        <v>470</v>
      </c>
      <c r="L274" t="e">
        <f>VLOOKUP(H274,Sheet1!H:H,1,0)</f>
        <v>#N/A</v>
      </c>
    </row>
    <row r="275" spans="1:12">
      <c r="A275" t="s">
        <v>208</v>
      </c>
      <c r="B275" t="s">
        <v>324</v>
      </c>
      <c r="C275" t="s">
        <v>210</v>
      </c>
      <c r="D275" t="s">
        <v>211</v>
      </c>
      <c r="E275" t="s">
        <v>467</v>
      </c>
      <c r="F275" t="s">
        <v>468</v>
      </c>
      <c r="G275" t="s">
        <v>551</v>
      </c>
      <c r="H275">
        <v>2511103</v>
      </c>
      <c r="I275" t="s">
        <v>214</v>
      </c>
      <c r="J275" s="14">
        <v>46101</v>
      </c>
      <c r="K275" t="s">
        <v>470</v>
      </c>
      <c r="L275" t="e">
        <f>VLOOKUP(H275,Sheet1!H:H,1,0)</f>
        <v>#N/A</v>
      </c>
    </row>
    <row r="276" spans="1:12">
      <c r="A276" t="s">
        <v>552</v>
      </c>
      <c r="B276" t="s">
        <v>327</v>
      </c>
      <c r="C276" t="s">
        <v>210</v>
      </c>
      <c r="D276" t="s">
        <v>211</v>
      </c>
      <c r="E276" t="s">
        <v>553</v>
      </c>
      <c r="F276" t="s">
        <v>38</v>
      </c>
      <c r="G276" t="s">
        <v>554</v>
      </c>
      <c r="H276">
        <v>5007101</v>
      </c>
      <c r="I276" t="s">
        <v>214</v>
      </c>
      <c r="J276" s="14">
        <v>46090</v>
      </c>
      <c r="L276" t="e">
        <f>VLOOKUP(H276,Sheet1!H:H,1,0)</f>
        <v>#N/A</v>
      </c>
    </row>
    <row r="277" spans="1:12">
      <c r="A277" t="s">
        <v>552</v>
      </c>
      <c r="B277" t="s">
        <v>327</v>
      </c>
      <c r="C277" t="s">
        <v>210</v>
      </c>
      <c r="D277" t="s">
        <v>211</v>
      </c>
      <c r="E277" t="s">
        <v>553</v>
      </c>
      <c r="F277" t="s">
        <v>38</v>
      </c>
      <c r="G277" t="s">
        <v>555</v>
      </c>
      <c r="H277">
        <v>4728801</v>
      </c>
      <c r="I277" t="s">
        <v>214</v>
      </c>
      <c r="J277" s="14">
        <v>45362</v>
      </c>
      <c r="L277" t="e">
        <f>VLOOKUP(H277,Sheet1!H:H,1,0)</f>
        <v>#N/A</v>
      </c>
    </row>
    <row r="278" spans="1:12">
      <c r="A278" t="s">
        <v>552</v>
      </c>
      <c r="B278" t="s">
        <v>327</v>
      </c>
      <c r="C278" t="s">
        <v>210</v>
      </c>
      <c r="D278" t="s">
        <v>211</v>
      </c>
      <c r="E278" t="s">
        <v>553</v>
      </c>
      <c r="F278" t="s">
        <v>38</v>
      </c>
      <c r="G278" t="s">
        <v>556</v>
      </c>
      <c r="H278">
        <v>4865701</v>
      </c>
      <c r="I278" t="s">
        <v>214</v>
      </c>
      <c r="J278" s="14">
        <v>45705</v>
      </c>
      <c r="L278" t="e">
        <f>VLOOKUP(H278,Sheet1!H:H,1,0)</f>
        <v>#N/A</v>
      </c>
    </row>
    <row r="279" spans="1:12">
      <c r="A279" t="s">
        <v>552</v>
      </c>
      <c r="B279" t="s">
        <v>286</v>
      </c>
      <c r="C279" t="s">
        <v>210</v>
      </c>
      <c r="D279" t="s">
        <v>287</v>
      </c>
      <c r="E279" t="s">
        <v>557</v>
      </c>
      <c r="F279" t="s">
        <v>558</v>
      </c>
      <c r="G279" t="s">
        <v>559</v>
      </c>
      <c r="H279">
        <v>3119101</v>
      </c>
      <c r="I279" t="s">
        <v>560</v>
      </c>
      <c r="J279" s="14">
        <v>43328</v>
      </c>
      <c r="K279" t="s">
        <v>561</v>
      </c>
      <c r="L279" t="e">
        <f>VLOOKUP(H279,Sheet1!H:H,1,0)</f>
        <v>#N/A</v>
      </c>
    </row>
    <row r="280" spans="1:12">
      <c r="A280" t="s">
        <v>552</v>
      </c>
      <c r="B280" t="s">
        <v>293</v>
      </c>
      <c r="C280" t="s">
        <v>210</v>
      </c>
      <c r="D280" t="s">
        <v>287</v>
      </c>
      <c r="E280" t="s">
        <v>557</v>
      </c>
      <c r="F280" t="s">
        <v>562</v>
      </c>
      <c r="G280" t="s">
        <v>563</v>
      </c>
      <c r="H280">
        <v>4972401</v>
      </c>
      <c r="I280" t="s">
        <v>564</v>
      </c>
      <c r="J280" s="14">
        <v>45670</v>
      </c>
      <c r="K280" t="s">
        <v>561</v>
      </c>
      <c r="L280" t="e">
        <f>VLOOKUP(H280,Sheet1!H:H,1,0)</f>
        <v>#N/A</v>
      </c>
    </row>
    <row r="281" spans="1:12">
      <c r="A281" t="s">
        <v>552</v>
      </c>
      <c r="B281" t="s">
        <v>565</v>
      </c>
      <c r="C281" t="s">
        <v>210</v>
      </c>
      <c r="D281" t="s">
        <v>211</v>
      </c>
      <c r="E281" t="s">
        <v>566</v>
      </c>
      <c r="F281" t="s">
        <v>567</v>
      </c>
      <c r="G281" t="s">
        <v>568</v>
      </c>
      <c r="H281">
        <v>5034201</v>
      </c>
      <c r="I281" t="s">
        <v>214</v>
      </c>
      <c r="J281" s="14">
        <v>45916</v>
      </c>
      <c r="K281" t="s">
        <v>569</v>
      </c>
      <c r="L281" t="e">
        <f>VLOOKUP(H281,Sheet1!H:H,1,0)</f>
        <v>#N/A</v>
      </c>
    </row>
    <row r="282" spans="1:12">
      <c r="A282" t="s">
        <v>552</v>
      </c>
      <c r="B282" t="s">
        <v>565</v>
      </c>
      <c r="C282" t="s">
        <v>210</v>
      </c>
      <c r="D282" t="s">
        <v>287</v>
      </c>
      <c r="E282" t="s">
        <v>570</v>
      </c>
      <c r="F282" t="s">
        <v>36</v>
      </c>
      <c r="G282" t="s">
        <v>571</v>
      </c>
      <c r="H282">
        <v>2302901</v>
      </c>
      <c r="I282" t="s">
        <v>572</v>
      </c>
      <c r="J282" s="14">
        <v>45215</v>
      </c>
      <c r="K282" t="s">
        <v>573</v>
      </c>
      <c r="L282" t="e">
        <f>VLOOKUP(H282,Sheet1!H:H,1,0)</f>
        <v>#N/A</v>
      </c>
    </row>
    <row r="283" spans="1:12">
      <c r="A283" t="s">
        <v>552</v>
      </c>
      <c r="B283" t="s">
        <v>565</v>
      </c>
      <c r="C283" t="s">
        <v>429</v>
      </c>
      <c r="D283" t="s">
        <v>211</v>
      </c>
      <c r="E283" t="s">
        <v>566</v>
      </c>
      <c r="F283" t="s">
        <v>567</v>
      </c>
      <c r="G283" t="s">
        <v>574</v>
      </c>
      <c r="H283">
        <v>3040201</v>
      </c>
      <c r="I283" t="s">
        <v>575</v>
      </c>
      <c r="J283" s="14">
        <v>42109</v>
      </c>
      <c r="K283" t="s">
        <v>569</v>
      </c>
      <c r="L283" t="e">
        <f>VLOOKUP(H283,Sheet1!H:H,1,0)</f>
        <v>#N/A</v>
      </c>
    </row>
    <row r="284" spans="1:12">
      <c r="A284" t="s">
        <v>552</v>
      </c>
      <c r="B284" t="s">
        <v>293</v>
      </c>
      <c r="C284" t="s">
        <v>210</v>
      </c>
      <c r="D284" t="s">
        <v>287</v>
      </c>
      <c r="E284" t="s">
        <v>557</v>
      </c>
      <c r="F284" t="s">
        <v>562</v>
      </c>
      <c r="G284" t="s">
        <v>576</v>
      </c>
      <c r="H284">
        <v>2032901</v>
      </c>
      <c r="I284" t="s">
        <v>313</v>
      </c>
      <c r="J284" s="14">
        <v>40483</v>
      </c>
      <c r="K284" t="s">
        <v>561</v>
      </c>
      <c r="L284" t="e">
        <f>VLOOKUP(H284,Sheet1!H:H,1,0)</f>
        <v>#N/A</v>
      </c>
    </row>
    <row r="285" spans="1:12">
      <c r="A285" t="s">
        <v>552</v>
      </c>
      <c r="B285" t="s">
        <v>565</v>
      </c>
      <c r="C285" t="s">
        <v>210</v>
      </c>
      <c r="D285" t="s">
        <v>211</v>
      </c>
      <c r="E285" t="s">
        <v>566</v>
      </c>
      <c r="F285" t="s">
        <v>567</v>
      </c>
      <c r="G285" t="s">
        <v>577</v>
      </c>
      <c r="H285">
        <v>5200101</v>
      </c>
      <c r="I285" t="s">
        <v>214</v>
      </c>
      <c r="J285" s="14">
        <v>46054</v>
      </c>
      <c r="K285" t="s">
        <v>569</v>
      </c>
      <c r="L285" t="e">
        <f>VLOOKUP(H285,Sheet1!H:H,1,0)</f>
        <v>#N/A</v>
      </c>
    </row>
    <row r="286" spans="1:12">
      <c r="A286" t="s">
        <v>552</v>
      </c>
      <c r="B286" t="s">
        <v>565</v>
      </c>
      <c r="C286" t="s">
        <v>210</v>
      </c>
      <c r="D286" t="s">
        <v>211</v>
      </c>
      <c r="E286" t="s">
        <v>566</v>
      </c>
      <c r="F286" t="s">
        <v>567</v>
      </c>
      <c r="G286" t="s">
        <v>578</v>
      </c>
      <c r="H286">
        <v>5164601</v>
      </c>
      <c r="I286" t="s">
        <v>220</v>
      </c>
      <c r="J286" s="14">
        <v>45985</v>
      </c>
      <c r="K286" t="s">
        <v>569</v>
      </c>
      <c r="L286" t="e">
        <f>VLOOKUP(H286,Sheet1!H:H,1,0)</f>
        <v>#N/A</v>
      </c>
    </row>
    <row r="287" spans="1:12">
      <c r="A287" t="s">
        <v>552</v>
      </c>
      <c r="B287" t="s">
        <v>565</v>
      </c>
      <c r="C287" t="s">
        <v>210</v>
      </c>
      <c r="D287" t="s">
        <v>211</v>
      </c>
      <c r="E287" t="s">
        <v>566</v>
      </c>
      <c r="F287" t="s">
        <v>567</v>
      </c>
      <c r="G287" t="s">
        <v>579</v>
      </c>
      <c r="H287">
        <v>4955701</v>
      </c>
      <c r="I287" t="s">
        <v>220</v>
      </c>
      <c r="J287" s="14">
        <v>45607</v>
      </c>
      <c r="K287" t="s">
        <v>569</v>
      </c>
      <c r="L287" t="e">
        <f>VLOOKUP(H287,Sheet1!H:H,1,0)</f>
        <v>#N/A</v>
      </c>
    </row>
    <row r="288" spans="1:12">
      <c r="A288" t="s">
        <v>552</v>
      </c>
      <c r="B288" t="s">
        <v>565</v>
      </c>
      <c r="C288" t="s">
        <v>210</v>
      </c>
      <c r="D288" t="s">
        <v>211</v>
      </c>
      <c r="E288" t="s">
        <v>566</v>
      </c>
      <c r="F288" t="s">
        <v>567</v>
      </c>
      <c r="G288" t="s">
        <v>580</v>
      </c>
      <c r="H288">
        <v>4784501</v>
      </c>
      <c r="I288" t="s">
        <v>214</v>
      </c>
      <c r="J288" s="14">
        <v>45516</v>
      </c>
      <c r="K288" t="s">
        <v>569</v>
      </c>
      <c r="L288" t="e">
        <f>VLOOKUP(H288,Sheet1!H:H,1,0)</f>
        <v>#N/A</v>
      </c>
    </row>
    <row r="289" spans="1:12">
      <c r="A289" t="s">
        <v>552</v>
      </c>
      <c r="B289" t="s">
        <v>565</v>
      </c>
      <c r="C289" t="s">
        <v>210</v>
      </c>
      <c r="D289" t="s">
        <v>211</v>
      </c>
      <c r="E289" t="s">
        <v>566</v>
      </c>
      <c r="F289" t="s">
        <v>567</v>
      </c>
      <c r="G289" t="s">
        <v>581</v>
      </c>
      <c r="H289">
        <v>4307701</v>
      </c>
      <c r="I289" t="s">
        <v>240</v>
      </c>
      <c r="J289" s="14">
        <v>44697</v>
      </c>
      <c r="K289" t="s">
        <v>569</v>
      </c>
      <c r="L289" t="e">
        <f>VLOOKUP(H289,Sheet1!H:H,1,0)</f>
        <v>#N/A</v>
      </c>
    </row>
    <row r="290" spans="1:12">
      <c r="A290" t="s">
        <v>552</v>
      </c>
      <c r="B290" t="s">
        <v>565</v>
      </c>
      <c r="C290" t="s">
        <v>210</v>
      </c>
      <c r="D290" t="s">
        <v>211</v>
      </c>
      <c r="E290" t="s">
        <v>566</v>
      </c>
      <c r="F290" t="s">
        <v>567</v>
      </c>
      <c r="G290" t="s">
        <v>582</v>
      </c>
      <c r="H290">
        <v>4710001</v>
      </c>
      <c r="I290" t="s">
        <v>214</v>
      </c>
      <c r="J290" s="14">
        <v>46062</v>
      </c>
      <c r="K290" t="s">
        <v>569</v>
      </c>
      <c r="L290" t="e">
        <f>VLOOKUP(H290,Sheet1!H:H,1,0)</f>
        <v>#N/A</v>
      </c>
    </row>
    <row r="291" spans="1:12">
      <c r="A291" t="s">
        <v>552</v>
      </c>
      <c r="B291" t="s">
        <v>565</v>
      </c>
      <c r="C291" t="s">
        <v>210</v>
      </c>
      <c r="D291" t="s">
        <v>211</v>
      </c>
      <c r="E291" t="s">
        <v>566</v>
      </c>
      <c r="F291" t="s">
        <v>567</v>
      </c>
      <c r="G291" t="s">
        <v>583</v>
      </c>
      <c r="H291">
        <v>3748401</v>
      </c>
      <c r="I291" t="s">
        <v>333</v>
      </c>
      <c r="J291" s="14">
        <v>43525</v>
      </c>
      <c r="K291" t="s">
        <v>569</v>
      </c>
      <c r="L291" t="e">
        <f>VLOOKUP(H291,Sheet1!H:H,1,0)</f>
        <v>#N/A</v>
      </c>
    </row>
    <row r="292" spans="1:12">
      <c r="A292" t="s">
        <v>552</v>
      </c>
      <c r="B292" t="s">
        <v>565</v>
      </c>
      <c r="C292" t="s">
        <v>210</v>
      </c>
      <c r="D292" t="s">
        <v>211</v>
      </c>
      <c r="E292" t="s">
        <v>566</v>
      </c>
      <c r="F292" t="s">
        <v>567</v>
      </c>
      <c r="G292" t="s">
        <v>584</v>
      </c>
      <c r="H292">
        <v>4993901</v>
      </c>
      <c r="I292" t="s">
        <v>214</v>
      </c>
      <c r="J292" s="14">
        <v>45775</v>
      </c>
      <c r="K292" t="s">
        <v>569</v>
      </c>
      <c r="L292" t="e">
        <f>VLOOKUP(H292,Sheet1!H:H,1,0)</f>
        <v>#N/A</v>
      </c>
    </row>
    <row r="293" spans="1:12">
      <c r="A293" t="s">
        <v>552</v>
      </c>
      <c r="B293" t="s">
        <v>565</v>
      </c>
      <c r="C293" t="s">
        <v>210</v>
      </c>
      <c r="D293" t="s">
        <v>211</v>
      </c>
      <c r="E293" t="s">
        <v>566</v>
      </c>
      <c r="F293" t="s">
        <v>567</v>
      </c>
      <c r="G293" t="s">
        <v>585</v>
      </c>
      <c r="H293">
        <v>4953901</v>
      </c>
      <c r="I293" t="s">
        <v>214</v>
      </c>
      <c r="J293" s="14">
        <v>45614</v>
      </c>
      <c r="K293" t="s">
        <v>569</v>
      </c>
      <c r="L293" t="e">
        <f>VLOOKUP(H293,Sheet1!H:H,1,0)</f>
        <v>#N/A</v>
      </c>
    </row>
    <row r="294" spans="1:12">
      <c r="A294" t="s">
        <v>552</v>
      </c>
      <c r="B294" t="s">
        <v>565</v>
      </c>
      <c r="C294" t="s">
        <v>210</v>
      </c>
      <c r="D294" t="s">
        <v>287</v>
      </c>
      <c r="E294" t="s">
        <v>586</v>
      </c>
      <c r="F294" t="s">
        <v>587</v>
      </c>
      <c r="G294" t="s">
        <v>588</v>
      </c>
      <c r="H294">
        <v>2010801</v>
      </c>
      <c r="I294" t="s">
        <v>589</v>
      </c>
      <c r="J294" s="14">
        <v>39591</v>
      </c>
      <c r="K294" t="s">
        <v>559</v>
      </c>
      <c r="L294" t="e">
        <f>VLOOKUP(H294,Sheet1!H:H,1,0)</f>
        <v>#N/A</v>
      </c>
    </row>
    <row r="295" spans="1:12">
      <c r="A295" t="s">
        <v>552</v>
      </c>
      <c r="B295" t="s">
        <v>565</v>
      </c>
      <c r="C295" t="s">
        <v>210</v>
      </c>
      <c r="D295" t="s">
        <v>211</v>
      </c>
      <c r="E295" t="s">
        <v>566</v>
      </c>
      <c r="F295" t="s">
        <v>567</v>
      </c>
      <c r="G295" t="s">
        <v>590</v>
      </c>
      <c r="H295">
        <v>4423501</v>
      </c>
      <c r="I295" t="s">
        <v>422</v>
      </c>
      <c r="J295" s="14">
        <v>44998</v>
      </c>
      <c r="K295" t="s">
        <v>569</v>
      </c>
      <c r="L295" t="e">
        <f>VLOOKUP(H295,Sheet1!H:H,1,0)</f>
        <v>#N/A</v>
      </c>
    </row>
    <row r="296" spans="1:12">
      <c r="A296" t="s">
        <v>552</v>
      </c>
      <c r="B296" t="s">
        <v>565</v>
      </c>
      <c r="C296" t="s">
        <v>210</v>
      </c>
      <c r="D296" t="s">
        <v>211</v>
      </c>
      <c r="E296" t="s">
        <v>566</v>
      </c>
      <c r="F296" t="s">
        <v>567</v>
      </c>
      <c r="G296" t="s">
        <v>591</v>
      </c>
      <c r="H296">
        <v>5184701</v>
      </c>
      <c r="I296" t="s">
        <v>214</v>
      </c>
      <c r="J296" s="14">
        <v>45992</v>
      </c>
      <c r="K296" t="s">
        <v>569</v>
      </c>
      <c r="L296" t="e">
        <f>VLOOKUP(H296,Sheet1!H:H,1,0)</f>
        <v>#N/A</v>
      </c>
    </row>
    <row r="297" spans="1:12">
      <c r="A297" t="s">
        <v>552</v>
      </c>
      <c r="B297" t="s">
        <v>565</v>
      </c>
      <c r="C297" t="s">
        <v>210</v>
      </c>
      <c r="D297" t="s">
        <v>211</v>
      </c>
      <c r="E297" t="s">
        <v>566</v>
      </c>
      <c r="F297" t="s">
        <v>567</v>
      </c>
      <c r="G297" t="s">
        <v>592</v>
      </c>
      <c r="H297">
        <v>4966801</v>
      </c>
      <c r="I297" t="s">
        <v>214</v>
      </c>
      <c r="J297" s="14">
        <v>45629</v>
      </c>
      <c r="K297" t="s">
        <v>569</v>
      </c>
      <c r="L297" t="e">
        <f>VLOOKUP(H297,Sheet1!H:H,1,0)</f>
        <v>#N/A</v>
      </c>
    </row>
    <row r="298" spans="1:12">
      <c r="A298" t="s">
        <v>552</v>
      </c>
      <c r="B298" t="s">
        <v>565</v>
      </c>
      <c r="C298" t="s">
        <v>210</v>
      </c>
      <c r="D298" t="s">
        <v>211</v>
      </c>
      <c r="E298" t="s">
        <v>566</v>
      </c>
      <c r="F298" t="s">
        <v>567</v>
      </c>
      <c r="G298" t="s">
        <v>593</v>
      </c>
      <c r="H298">
        <v>4252301</v>
      </c>
      <c r="I298" t="s">
        <v>502</v>
      </c>
      <c r="J298" s="14">
        <v>44608</v>
      </c>
      <c r="K298" t="s">
        <v>569</v>
      </c>
      <c r="L298" t="e">
        <f>VLOOKUP(H298,Sheet1!H:H,1,0)</f>
        <v>#N/A</v>
      </c>
    </row>
    <row r="299" spans="1:12">
      <c r="A299" t="s">
        <v>552</v>
      </c>
      <c r="B299" t="s">
        <v>565</v>
      </c>
      <c r="C299" t="s">
        <v>210</v>
      </c>
      <c r="D299" t="s">
        <v>211</v>
      </c>
      <c r="E299" t="s">
        <v>566</v>
      </c>
      <c r="F299" t="s">
        <v>567</v>
      </c>
      <c r="G299" t="s">
        <v>594</v>
      </c>
      <c r="H299">
        <v>5007201</v>
      </c>
      <c r="I299" t="s">
        <v>220</v>
      </c>
      <c r="J299" s="14">
        <v>45876</v>
      </c>
      <c r="K299" t="s">
        <v>569</v>
      </c>
      <c r="L299" t="e">
        <f>VLOOKUP(H299,Sheet1!H:H,1,0)</f>
        <v>#N/A</v>
      </c>
    </row>
    <row r="300" spans="1:12">
      <c r="A300" t="s">
        <v>552</v>
      </c>
      <c r="B300" t="s">
        <v>565</v>
      </c>
      <c r="C300" t="s">
        <v>210</v>
      </c>
      <c r="D300" t="s">
        <v>211</v>
      </c>
      <c r="E300" t="s">
        <v>566</v>
      </c>
      <c r="F300" t="s">
        <v>567</v>
      </c>
      <c r="G300" t="s">
        <v>595</v>
      </c>
      <c r="H300">
        <v>3957901</v>
      </c>
      <c r="I300" t="s">
        <v>502</v>
      </c>
      <c r="J300" s="14">
        <v>44273</v>
      </c>
      <c r="K300" t="s">
        <v>569</v>
      </c>
      <c r="L300" t="e">
        <f>VLOOKUP(H300,Sheet1!H:H,1,0)</f>
        <v>#N/A</v>
      </c>
    </row>
    <row r="301" spans="1:12">
      <c r="A301" t="s">
        <v>552</v>
      </c>
      <c r="B301" t="s">
        <v>565</v>
      </c>
      <c r="C301" t="s">
        <v>210</v>
      </c>
      <c r="D301" t="s">
        <v>211</v>
      </c>
      <c r="E301" t="s">
        <v>566</v>
      </c>
      <c r="F301" t="s">
        <v>567</v>
      </c>
      <c r="G301" t="s">
        <v>596</v>
      </c>
      <c r="H301">
        <v>5207601</v>
      </c>
      <c r="I301" t="s">
        <v>214</v>
      </c>
      <c r="J301" s="14">
        <v>46090</v>
      </c>
      <c r="K301" t="s">
        <v>569</v>
      </c>
      <c r="L301" t="e">
        <f>VLOOKUP(H301,Sheet1!H:H,1,0)</f>
        <v>#N/A</v>
      </c>
    </row>
    <row r="302" spans="1:12">
      <c r="A302" t="s">
        <v>552</v>
      </c>
      <c r="B302" t="s">
        <v>565</v>
      </c>
      <c r="C302" t="s">
        <v>210</v>
      </c>
      <c r="D302" t="s">
        <v>211</v>
      </c>
      <c r="E302" t="s">
        <v>566</v>
      </c>
      <c r="F302" t="s">
        <v>567</v>
      </c>
      <c r="G302" t="s">
        <v>597</v>
      </c>
      <c r="H302">
        <v>5007601</v>
      </c>
      <c r="I302" t="s">
        <v>214</v>
      </c>
      <c r="J302" s="14">
        <v>45831</v>
      </c>
      <c r="K302" t="s">
        <v>569</v>
      </c>
      <c r="L302" t="e">
        <f>VLOOKUP(H302,Sheet1!H:H,1,0)</f>
        <v>#N/A</v>
      </c>
    </row>
    <row r="303" spans="1:12">
      <c r="A303" t="s">
        <v>552</v>
      </c>
      <c r="B303" t="s">
        <v>565</v>
      </c>
      <c r="C303" t="s">
        <v>210</v>
      </c>
      <c r="D303" t="s">
        <v>211</v>
      </c>
      <c r="E303" t="s">
        <v>566</v>
      </c>
      <c r="F303" t="s">
        <v>567</v>
      </c>
      <c r="G303" t="s">
        <v>598</v>
      </c>
      <c r="H303">
        <v>4530401</v>
      </c>
      <c r="I303" t="s">
        <v>422</v>
      </c>
      <c r="J303" s="14">
        <v>45096</v>
      </c>
      <c r="K303" t="s">
        <v>569</v>
      </c>
      <c r="L303" t="e">
        <f>VLOOKUP(H303,Sheet1!H:H,1,0)</f>
        <v>#N/A</v>
      </c>
    </row>
    <row r="304" spans="1:12">
      <c r="A304" t="s">
        <v>552</v>
      </c>
      <c r="B304" t="s">
        <v>565</v>
      </c>
      <c r="C304" t="s">
        <v>210</v>
      </c>
      <c r="D304" t="s">
        <v>211</v>
      </c>
      <c r="E304" t="s">
        <v>566</v>
      </c>
      <c r="F304" t="s">
        <v>567</v>
      </c>
      <c r="G304" t="s">
        <v>599</v>
      </c>
      <c r="H304">
        <v>4917701</v>
      </c>
      <c r="I304" t="s">
        <v>214</v>
      </c>
      <c r="J304" s="14">
        <v>45593</v>
      </c>
      <c r="K304" t="s">
        <v>569</v>
      </c>
      <c r="L304" t="e">
        <f>VLOOKUP(H304,Sheet1!H:H,1,0)</f>
        <v>#N/A</v>
      </c>
    </row>
    <row r="305" spans="1:12">
      <c r="A305" t="s">
        <v>552</v>
      </c>
      <c r="B305" t="s">
        <v>565</v>
      </c>
      <c r="C305" t="s">
        <v>210</v>
      </c>
      <c r="D305" t="s">
        <v>211</v>
      </c>
      <c r="E305" t="s">
        <v>566</v>
      </c>
      <c r="F305" t="s">
        <v>567</v>
      </c>
      <c r="G305" t="s">
        <v>600</v>
      </c>
      <c r="H305">
        <v>5207701</v>
      </c>
      <c r="I305" t="s">
        <v>214</v>
      </c>
      <c r="J305" s="14">
        <v>46083</v>
      </c>
      <c r="K305" t="s">
        <v>569</v>
      </c>
      <c r="L305" t="e">
        <f>VLOOKUP(H305,Sheet1!H:H,1,0)</f>
        <v>#N/A</v>
      </c>
    </row>
    <row r="306" spans="1:12">
      <c r="A306" t="s">
        <v>552</v>
      </c>
      <c r="B306" t="s">
        <v>565</v>
      </c>
      <c r="C306" t="s">
        <v>429</v>
      </c>
      <c r="D306" t="s">
        <v>211</v>
      </c>
      <c r="E306" t="s">
        <v>566</v>
      </c>
      <c r="F306" t="s">
        <v>567</v>
      </c>
      <c r="G306" t="s">
        <v>601</v>
      </c>
      <c r="H306">
        <v>4541901</v>
      </c>
      <c r="I306" t="s">
        <v>220</v>
      </c>
      <c r="J306" s="14">
        <v>45561</v>
      </c>
      <c r="K306" t="s">
        <v>569</v>
      </c>
      <c r="L306" t="e">
        <f>VLOOKUP(H306,Sheet1!H:H,1,0)</f>
        <v>#N/A</v>
      </c>
    </row>
    <row r="307" spans="1:12">
      <c r="A307" t="s">
        <v>552</v>
      </c>
      <c r="B307" t="s">
        <v>565</v>
      </c>
      <c r="C307" t="s">
        <v>210</v>
      </c>
      <c r="D307" t="s">
        <v>211</v>
      </c>
      <c r="E307" t="s">
        <v>566</v>
      </c>
      <c r="F307" t="s">
        <v>567</v>
      </c>
      <c r="G307" t="s">
        <v>602</v>
      </c>
      <c r="H307">
        <v>4953501</v>
      </c>
      <c r="I307" t="s">
        <v>214</v>
      </c>
      <c r="J307" s="14">
        <v>45887</v>
      </c>
      <c r="K307" t="s">
        <v>569</v>
      </c>
      <c r="L307" t="e">
        <f>VLOOKUP(H307,Sheet1!H:H,1,0)</f>
        <v>#N/A</v>
      </c>
    </row>
    <row r="308" spans="1:12">
      <c r="A308" t="s">
        <v>552</v>
      </c>
      <c r="B308" t="s">
        <v>565</v>
      </c>
      <c r="C308" t="s">
        <v>210</v>
      </c>
      <c r="D308" t="s">
        <v>211</v>
      </c>
      <c r="E308" t="s">
        <v>566</v>
      </c>
      <c r="F308" t="s">
        <v>567</v>
      </c>
      <c r="G308" t="s">
        <v>603</v>
      </c>
      <c r="H308">
        <v>5204101</v>
      </c>
      <c r="I308" t="s">
        <v>214</v>
      </c>
      <c r="J308" s="14">
        <v>46069</v>
      </c>
      <c r="K308" t="s">
        <v>569</v>
      </c>
      <c r="L308" t="e">
        <f>VLOOKUP(H308,Sheet1!H:H,1,0)</f>
        <v>#N/A</v>
      </c>
    </row>
    <row r="309" spans="1:12">
      <c r="A309" t="s">
        <v>552</v>
      </c>
      <c r="B309" t="s">
        <v>565</v>
      </c>
      <c r="C309" t="s">
        <v>210</v>
      </c>
      <c r="D309" t="s">
        <v>211</v>
      </c>
      <c r="E309" t="s">
        <v>566</v>
      </c>
      <c r="F309" t="s">
        <v>567</v>
      </c>
      <c r="G309" t="s">
        <v>604</v>
      </c>
      <c r="H309">
        <v>3720401</v>
      </c>
      <c r="I309" t="s">
        <v>214</v>
      </c>
      <c r="J309" s="14">
        <v>45551</v>
      </c>
      <c r="K309" t="s">
        <v>569</v>
      </c>
      <c r="L309" t="e">
        <f>VLOOKUP(H309,Sheet1!H:H,1,0)</f>
        <v>#N/A</v>
      </c>
    </row>
    <row r="310" spans="1:12">
      <c r="A310" t="s">
        <v>552</v>
      </c>
      <c r="B310" t="s">
        <v>565</v>
      </c>
      <c r="C310" t="s">
        <v>210</v>
      </c>
      <c r="D310" t="s">
        <v>211</v>
      </c>
      <c r="E310" t="s">
        <v>566</v>
      </c>
      <c r="F310" t="s">
        <v>567</v>
      </c>
      <c r="G310" t="s">
        <v>605</v>
      </c>
      <c r="H310">
        <v>4494801</v>
      </c>
      <c r="I310" t="s">
        <v>214</v>
      </c>
      <c r="J310" s="14">
        <v>44942</v>
      </c>
      <c r="K310" t="s">
        <v>569</v>
      </c>
      <c r="L310" t="e">
        <f>VLOOKUP(H310,Sheet1!H:H,1,0)</f>
        <v>#N/A</v>
      </c>
    </row>
    <row r="311" spans="1:12">
      <c r="A311" t="s">
        <v>552</v>
      </c>
      <c r="B311" t="s">
        <v>565</v>
      </c>
      <c r="C311" t="s">
        <v>210</v>
      </c>
      <c r="D311" t="s">
        <v>211</v>
      </c>
      <c r="E311" t="s">
        <v>566</v>
      </c>
      <c r="F311" t="s">
        <v>567</v>
      </c>
      <c r="G311" t="s">
        <v>606</v>
      </c>
      <c r="H311">
        <v>4866601</v>
      </c>
      <c r="I311" t="s">
        <v>220</v>
      </c>
      <c r="J311" s="14">
        <v>45586</v>
      </c>
      <c r="K311" t="s">
        <v>569</v>
      </c>
      <c r="L311" t="e">
        <f>VLOOKUP(H311,Sheet1!H:H,1,0)</f>
        <v>#N/A</v>
      </c>
    </row>
    <row r="312" spans="1:12">
      <c r="A312" t="s">
        <v>552</v>
      </c>
      <c r="B312" t="s">
        <v>565</v>
      </c>
      <c r="C312" t="s">
        <v>210</v>
      </c>
      <c r="D312" t="s">
        <v>211</v>
      </c>
      <c r="E312" t="s">
        <v>566</v>
      </c>
      <c r="F312" t="s">
        <v>567</v>
      </c>
      <c r="G312" t="s">
        <v>607</v>
      </c>
      <c r="H312">
        <v>4599801</v>
      </c>
      <c r="I312" t="s">
        <v>214</v>
      </c>
      <c r="J312" s="14">
        <v>45216</v>
      </c>
      <c r="K312" t="s">
        <v>569</v>
      </c>
      <c r="L312" t="e">
        <f>VLOOKUP(H312,Sheet1!H:H,1,0)</f>
        <v>#N/A</v>
      </c>
    </row>
    <row r="313" spans="1:12">
      <c r="A313" t="s">
        <v>552</v>
      </c>
      <c r="B313" t="s">
        <v>565</v>
      </c>
      <c r="C313" t="s">
        <v>210</v>
      </c>
      <c r="D313" t="s">
        <v>211</v>
      </c>
      <c r="E313" t="s">
        <v>566</v>
      </c>
      <c r="F313" t="s">
        <v>567</v>
      </c>
      <c r="G313" t="s">
        <v>608</v>
      </c>
      <c r="H313">
        <v>5200201</v>
      </c>
      <c r="I313" t="s">
        <v>214</v>
      </c>
      <c r="J313" s="14">
        <v>46062</v>
      </c>
      <c r="K313" t="s">
        <v>569</v>
      </c>
      <c r="L313" t="e">
        <f>VLOOKUP(H313,Sheet1!H:H,1,0)</f>
        <v>#N/A</v>
      </c>
    </row>
    <row r="314" spans="1:12">
      <c r="A314" t="s">
        <v>552</v>
      </c>
      <c r="B314" t="s">
        <v>565</v>
      </c>
      <c r="C314" t="s">
        <v>210</v>
      </c>
      <c r="D314" t="s">
        <v>287</v>
      </c>
      <c r="E314" t="s">
        <v>609</v>
      </c>
      <c r="F314" t="s">
        <v>587</v>
      </c>
      <c r="G314" t="s">
        <v>610</v>
      </c>
      <c r="H314">
        <v>1213801</v>
      </c>
      <c r="I314" t="s">
        <v>488</v>
      </c>
      <c r="J314" s="14">
        <v>43252</v>
      </c>
      <c r="K314" t="s">
        <v>611</v>
      </c>
      <c r="L314" t="e">
        <f>VLOOKUP(H314,Sheet1!H:H,1,0)</f>
        <v>#N/A</v>
      </c>
    </row>
    <row r="315" spans="1:12">
      <c r="A315" t="s">
        <v>552</v>
      </c>
      <c r="B315" t="s">
        <v>565</v>
      </c>
      <c r="C315" t="s">
        <v>210</v>
      </c>
      <c r="D315" t="s">
        <v>211</v>
      </c>
      <c r="E315" t="s">
        <v>566</v>
      </c>
      <c r="F315" t="s">
        <v>567</v>
      </c>
      <c r="G315" t="s">
        <v>612</v>
      </c>
      <c r="H315">
        <v>4784901</v>
      </c>
      <c r="I315" t="s">
        <v>214</v>
      </c>
      <c r="J315" s="14">
        <v>45516</v>
      </c>
      <c r="K315" t="s">
        <v>569</v>
      </c>
      <c r="L315" t="e">
        <f>VLOOKUP(H315,Sheet1!H:H,1,0)</f>
        <v>#N/A</v>
      </c>
    </row>
    <row r="316" spans="1:12">
      <c r="A316" t="s">
        <v>552</v>
      </c>
      <c r="B316" t="s">
        <v>565</v>
      </c>
      <c r="C316" t="s">
        <v>210</v>
      </c>
      <c r="D316" t="s">
        <v>211</v>
      </c>
      <c r="E316" t="s">
        <v>566</v>
      </c>
      <c r="F316" t="s">
        <v>567</v>
      </c>
      <c r="G316" t="s">
        <v>613</v>
      </c>
      <c r="H316">
        <v>5207501</v>
      </c>
      <c r="I316" t="s">
        <v>220</v>
      </c>
      <c r="J316" s="14">
        <v>46083</v>
      </c>
      <c r="K316" t="s">
        <v>569</v>
      </c>
      <c r="L316" t="e">
        <f>VLOOKUP(H316,Sheet1!H:H,1,0)</f>
        <v>#N/A</v>
      </c>
    </row>
    <row r="317" spans="1:12">
      <c r="A317" t="s">
        <v>552</v>
      </c>
      <c r="B317" t="s">
        <v>565</v>
      </c>
      <c r="C317" t="s">
        <v>210</v>
      </c>
      <c r="D317" t="s">
        <v>211</v>
      </c>
      <c r="E317" t="s">
        <v>566</v>
      </c>
      <c r="F317" t="s">
        <v>567</v>
      </c>
      <c r="G317" t="s">
        <v>614</v>
      </c>
      <c r="H317">
        <v>5038101</v>
      </c>
      <c r="I317" t="s">
        <v>214</v>
      </c>
      <c r="J317" s="14">
        <v>45929</v>
      </c>
      <c r="K317" t="s">
        <v>569</v>
      </c>
      <c r="L317" t="e">
        <f>VLOOKUP(H317,Sheet1!H:H,1,0)</f>
        <v>#N/A</v>
      </c>
    </row>
    <row r="318" spans="1:12">
      <c r="A318" t="s">
        <v>552</v>
      </c>
      <c r="B318" t="s">
        <v>565</v>
      </c>
      <c r="C318" t="s">
        <v>210</v>
      </c>
      <c r="D318" t="s">
        <v>211</v>
      </c>
      <c r="E318" t="s">
        <v>566</v>
      </c>
      <c r="F318" t="s">
        <v>567</v>
      </c>
      <c r="G318" t="s">
        <v>615</v>
      </c>
      <c r="H318">
        <v>4954101</v>
      </c>
      <c r="I318" t="s">
        <v>214</v>
      </c>
      <c r="J318" s="14">
        <v>45754</v>
      </c>
      <c r="K318" t="s">
        <v>569</v>
      </c>
      <c r="L318" t="e">
        <f>VLOOKUP(H318,Sheet1!H:H,1,0)</f>
        <v>#N/A</v>
      </c>
    </row>
    <row r="319" spans="1:12">
      <c r="A319" t="s">
        <v>552</v>
      </c>
      <c r="B319" t="s">
        <v>565</v>
      </c>
      <c r="C319" t="s">
        <v>210</v>
      </c>
      <c r="D319" t="s">
        <v>211</v>
      </c>
      <c r="E319" t="s">
        <v>566</v>
      </c>
      <c r="F319" t="s">
        <v>567</v>
      </c>
      <c r="G319" t="s">
        <v>616</v>
      </c>
      <c r="H319">
        <v>4328501</v>
      </c>
      <c r="I319" t="s">
        <v>617</v>
      </c>
      <c r="J319" s="14">
        <v>44789</v>
      </c>
      <c r="K319" t="s">
        <v>569</v>
      </c>
      <c r="L319" t="e">
        <f>VLOOKUP(H319,Sheet1!H:H,1,0)</f>
        <v>#N/A</v>
      </c>
    </row>
    <row r="320" spans="1:12">
      <c r="A320" t="s">
        <v>552</v>
      </c>
      <c r="B320" t="s">
        <v>565</v>
      </c>
      <c r="C320" t="s">
        <v>210</v>
      </c>
      <c r="D320" t="s">
        <v>211</v>
      </c>
      <c r="E320" t="s">
        <v>566</v>
      </c>
      <c r="F320" t="s">
        <v>567</v>
      </c>
      <c r="G320" t="s">
        <v>618</v>
      </c>
      <c r="H320">
        <v>5161501</v>
      </c>
      <c r="I320" t="s">
        <v>214</v>
      </c>
      <c r="J320" s="14">
        <v>45985</v>
      </c>
      <c r="K320" t="s">
        <v>569</v>
      </c>
      <c r="L320" t="e">
        <f>VLOOKUP(H320,Sheet1!H:H,1,0)</f>
        <v>#N/A</v>
      </c>
    </row>
    <row r="321" spans="1:12">
      <c r="A321" t="s">
        <v>552</v>
      </c>
      <c r="B321" t="s">
        <v>565</v>
      </c>
      <c r="C321" t="s">
        <v>210</v>
      </c>
      <c r="D321" t="s">
        <v>211</v>
      </c>
      <c r="E321" t="s">
        <v>566</v>
      </c>
      <c r="F321" t="s">
        <v>567</v>
      </c>
      <c r="G321" t="s">
        <v>619</v>
      </c>
      <c r="H321">
        <v>4990701</v>
      </c>
      <c r="I321" t="s">
        <v>214</v>
      </c>
      <c r="J321" s="14">
        <v>45761</v>
      </c>
      <c r="K321" t="s">
        <v>569</v>
      </c>
      <c r="L321" t="e">
        <f>VLOOKUP(H321,Sheet1!H:H,1,0)</f>
        <v>#N/A</v>
      </c>
    </row>
    <row r="322" spans="1:12">
      <c r="A322" t="s">
        <v>552</v>
      </c>
      <c r="B322" t="s">
        <v>565</v>
      </c>
      <c r="C322" t="s">
        <v>210</v>
      </c>
      <c r="D322" t="s">
        <v>211</v>
      </c>
      <c r="E322" t="s">
        <v>566</v>
      </c>
      <c r="F322" t="s">
        <v>567</v>
      </c>
      <c r="G322" t="s">
        <v>620</v>
      </c>
      <c r="H322">
        <v>5005701</v>
      </c>
      <c r="I322" t="s">
        <v>214</v>
      </c>
      <c r="J322" s="14">
        <v>45826</v>
      </c>
      <c r="K322" t="s">
        <v>569</v>
      </c>
      <c r="L322" t="e">
        <f>VLOOKUP(H322,Sheet1!H:H,1,0)</f>
        <v>#N/A</v>
      </c>
    </row>
    <row r="323" spans="1:12">
      <c r="A323" t="s">
        <v>552</v>
      </c>
      <c r="B323" t="s">
        <v>565</v>
      </c>
      <c r="C323" t="s">
        <v>210</v>
      </c>
      <c r="D323" t="s">
        <v>287</v>
      </c>
      <c r="E323" t="s">
        <v>621</v>
      </c>
      <c r="F323" t="s">
        <v>587</v>
      </c>
      <c r="G323" t="s">
        <v>622</v>
      </c>
      <c r="H323">
        <v>1148401</v>
      </c>
      <c r="I323" t="s">
        <v>623</v>
      </c>
      <c r="J323" s="14">
        <v>38964</v>
      </c>
      <c r="K323" t="s">
        <v>624</v>
      </c>
      <c r="L323" t="e">
        <f>VLOOKUP(H323,Sheet1!H:H,1,0)</f>
        <v>#N/A</v>
      </c>
    </row>
    <row r="324" spans="1:12">
      <c r="A324" t="s">
        <v>552</v>
      </c>
      <c r="B324" t="s">
        <v>293</v>
      </c>
      <c r="C324" t="s">
        <v>210</v>
      </c>
      <c r="D324" t="s">
        <v>287</v>
      </c>
      <c r="E324" t="s">
        <v>609</v>
      </c>
      <c r="F324" t="s">
        <v>562</v>
      </c>
      <c r="G324" t="s">
        <v>625</v>
      </c>
      <c r="H324">
        <v>4920501</v>
      </c>
      <c r="I324" t="s">
        <v>308</v>
      </c>
      <c r="J324" s="14">
        <v>45603</v>
      </c>
      <c r="K324" t="s">
        <v>611</v>
      </c>
      <c r="L324" t="e">
        <f>VLOOKUP(H324,Sheet1!H:H,1,0)</f>
        <v>#N/A</v>
      </c>
    </row>
    <row r="325" spans="1:12">
      <c r="A325" t="s">
        <v>552</v>
      </c>
      <c r="B325" t="s">
        <v>565</v>
      </c>
      <c r="C325" t="s">
        <v>210</v>
      </c>
      <c r="D325" t="s">
        <v>287</v>
      </c>
      <c r="E325" t="s">
        <v>626</v>
      </c>
      <c r="F325" t="s">
        <v>587</v>
      </c>
      <c r="G325" t="s">
        <v>627</v>
      </c>
      <c r="H325">
        <v>1330501</v>
      </c>
      <c r="I325" t="s">
        <v>628</v>
      </c>
      <c r="J325" s="14">
        <v>43252</v>
      </c>
      <c r="K325" t="s">
        <v>629</v>
      </c>
      <c r="L325" t="e">
        <f>VLOOKUP(H325,Sheet1!H:H,1,0)</f>
        <v>#N/A</v>
      </c>
    </row>
    <row r="326" spans="1:12">
      <c r="A326" t="s">
        <v>552</v>
      </c>
      <c r="B326" t="s">
        <v>565</v>
      </c>
      <c r="C326" t="s">
        <v>210</v>
      </c>
      <c r="D326" t="s">
        <v>211</v>
      </c>
      <c r="E326" t="s">
        <v>566</v>
      </c>
      <c r="F326" t="s">
        <v>567</v>
      </c>
      <c r="G326" t="s">
        <v>630</v>
      </c>
      <c r="H326">
        <v>4643001</v>
      </c>
      <c r="I326" t="s">
        <v>424</v>
      </c>
      <c r="J326" s="14">
        <v>45243</v>
      </c>
      <c r="K326" t="s">
        <v>569</v>
      </c>
      <c r="L326" t="e">
        <f>VLOOKUP(H326,Sheet1!H:H,1,0)</f>
        <v>#N/A</v>
      </c>
    </row>
    <row r="327" spans="1:12">
      <c r="A327" t="s">
        <v>552</v>
      </c>
      <c r="B327" t="s">
        <v>565</v>
      </c>
      <c r="C327" t="s">
        <v>210</v>
      </c>
      <c r="D327" t="s">
        <v>211</v>
      </c>
      <c r="E327" t="s">
        <v>566</v>
      </c>
      <c r="F327" t="s">
        <v>567</v>
      </c>
      <c r="G327" t="s">
        <v>631</v>
      </c>
      <c r="H327">
        <v>4301601</v>
      </c>
      <c r="I327" t="s">
        <v>214</v>
      </c>
      <c r="J327" s="14">
        <v>45796</v>
      </c>
      <c r="K327" t="s">
        <v>569</v>
      </c>
      <c r="L327" t="e">
        <f>VLOOKUP(H327,Sheet1!H:H,1,0)</f>
        <v>#N/A</v>
      </c>
    </row>
    <row r="328" spans="1:12">
      <c r="A328" t="s">
        <v>552</v>
      </c>
      <c r="B328" t="s">
        <v>565</v>
      </c>
      <c r="C328" t="s">
        <v>210</v>
      </c>
      <c r="D328" t="s">
        <v>211</v>
      </c>
      <c r="E328" t="s">
        <v>566</v>
      </c>
      <c r="F328" t="s">
        <v>567</v>
      </c>
      <c r="G328" t="s">
        <v>632</v>
      </c>
      <c r="H328">
        <v>3335601</v>
      </c>
      <c r="I328" t="s">
        <v>502</v>
      </c>
      <c r="J328" s="14">
        <v>42795</v>
      </c>
      <c r="K328" t="s">
        <v>569</v>
      </c>
      <c r="L328" t="e">
        <f>VLOOKUP(H328,Sheet1!H:H,1,0)</f>
        <v>#N/A</v>
      </c>
    </row>
    <row r="329" spans="1:12">
      <c r="A329" t="s">
        <v>552</v>
      </c>
      <c r="B329" t="s">
        <v>565</v>
      </c>
      <c r="C329" t="s">
        <v>210</v>
      </c>
      <c r="D329" t="s">
        <v>211</v>
      </c>
      <c r="E329" t="s">
        <v>633</v>
      </c>
      <c r="F329" t="s">
        <v>567</v>
      </c>
      <c r="G329" t="s">
        <v>569</v>
      </c>
      <c r="H329">
        <v>1492701</v>
      </c>
      <c r="I329" t="s">
        <v>634</v>
      </c>
      <c r="J329" s="14">
        <v>43612</v>
      </c>
      <c r="K329" t="s">
        <v>635</v>
      </c>
      <c r="L329" t="e">
        <f>VLOOKUP(H329,Sheet1!H:H,1,0)</f>
        <v>#N/A</v>
      </c>
    </row>
    <row r="330" spans="1:12">
      <c r="A330" t="s">
        <v>552</v>
      </c>
      <c r="B330" t="s">
        <v>565</v>
      </c>
      <c r="C330" t="s">
        <v>210</v>
      </c>
      <c r="D330" t="s">
        <v>287</v>
      </c>
      <c r="E330" t="s">
        <v>557</v>
      </c>
      <c r="F330" t="s">
        <v>587</v>
      </c>
      <c r="G330" t="s">
        <v>573</v>
      </c>
      <c r="H330">
        <v>2700501</v>
      </c>
      <c r="I330" t="s">
        <v>636</v>
      </c>
      <c r="J330" s="14">
        <v>41309</v>
      </c>
      <c r="K330" t="s">
        <v>561</v>
      </c>
      <c r="L330" t="e">
        <f>VLOOKUP(H330,Sheet1!H:H,1,0)</f>
        <v>#N/A</v>
      </c>
    </row>
    <row r="331" spans="1:12">
      <c r="A331" t="s">
        <v>552</v>
      </c>
      <c r="B331" t="s">
        <v>565</v>
      </c>
      <c r="C331" t="s">
        <v>210</v>
      </c>
      <c r="D331" t="s">
        <v>211</v>
      </c>
      <c r="E331" t="s">
        <v>566</v>
      </c>
      <c r="F331" t="s">
        <v>567</v>
      </c>
      <c r="G331" t="s">
        <v>637</v>
      </c>
      <c r="H331">
        <v>4089601</v>
      </c>
      <c r="I331" t="s">
        <v>638</v>
      </c>
      <c r="J331" s="14">
        <v>44562</v>
      </c>
      <c r="K331" t="s">
        <v>569</v>
      </c>
      <c r="L331" t="e">
        <f>VLOOKUP(H331,Sheet1!H:H,1,0)</f>
        <v>#N/A</v>
      </c>
    </row>
    <row r="332" spans="1:12">
      <c r="A332" t="s">
        <v>552</v>
      </c>
      <c r="B332" t="s">
        <v>565</v>
      </c>
      <c r="C332" t="s">
        <v>210</v>
      </c>
      <c r="D332" t="s">
        <v>211</v>
      </c>
      <c r="E332" t="s">
        <v>566</v>
      </c>
      <c r="F332" t="s">
        <v>567</v>
      </c>
      <c r="G332" t="s">
        <v>639</v>
      </c>
      <c r="H332">
        <v>5032101</v>
      </c>
      <c r="I332" t="s">
        <v>220</v>
      </c>
      <c r="J332" s="14">
        <v>45908</v>
      </c>
      <c r="K332" t="s">
        <v>569</v>
      </c>
      <c r="L332" t="e">
        <f>VLOOKUP(H332,Sheet1!H:H,1,0)</f>
        <v>#N/A</v>
      </c>
    </row>
    <row r="333" spans="1:12">
      <c r="A333" t="s">
        <v>552</v>
      </c>
      <c r="B333" t="s">
        <v>565</v>
      </c>
      <c r="C333" t="s">
        <v>210</v>
      </c>
      <c r="D333" t="s">
        <v>287</v>
      </c>
      <c r="E333" t="s">
        <v>557</v>
      </c>
      <c r="F333" t="s">
        <v>587</v>
      </c>
      <c r="G333" t="s">
        <v>640</v>
      </c>
      <c r="H333">
        <v>3034301</v>
      </c>
      <c r="I333" t="s">
        <v>326</v>
      </c>
      <c r="J333" s="14">
        <v>42074</v>
      </c>
      <c r="K333" t="s">
        <v>561</v>
      </c>
      <c r="L333" t="e">
        <f>VLOOKUP(H333,Sheet1!H:H,1,0)</f>
        <v>#N/A</v>
      </c>
    </row>
    <row r="334" spans="1:12">
      <c r="A334" t="s">
        <v>552</v>
      </c>
      <c r="B334" t="s">
        <v>565</v>
      </c>
      <c r="C334" t="s">
        <v>210</v>
      </c>
      <c r="D334" t="s">
        <v>211</v>
      </c>
      <c r="E334" t="s">
        <v>566</v>
      </c>
      <c r="F334" t="s">
        <v>567</v>
      </c>
      <c r="G334" t="s">
        <v>641</v>
      </c>
      <c r="H334">
        <v>5023701</v>
      </c>
      <c r="I334" t="s">
        <v>220</v>
      </c>
      <c r="J334" s="14">
        <v>45859</v>
      </c>
      <c r="K334" t="s">
        <v>569</v>
      </c>
      <c r="L334" t="e">
        <f>VLOOKUP(H334,Sheet1!H:H,1,0)</f>
        <v>#N/A</v>
      </c>
    </row>
    <row r="335" spans="1:12">
      <c r="A335" t="s">
        <v>552</v>
      </c>
      <c r="B335" t="s">
        <v>565</v>
      </c>
      <c r="C335" t="s">
        <v>210</v>
      </c>
      <c r="D335" t="s">
        <v>211</v>
      </c>
      <c r="E335" t="s">
        <v>566</v>
      </c>
      <c r="F335" t="s">
        <v>567</v>
      </c>
      <c r="G335" t="s">
        <v>642</v>
      </c>
      <c r="H335">
        <v>4981601</v>
      </c>
      <c r="I335" t="s">
        <v>214</v>
      </c>
      <c r="J335" s="14">
        <v>45726</v>
      </c>
      <c r="K335" t="s">
        <v>569</v>
      </c>
      <c r="L335" t="e">
        <f>VLOOKUP(H335,Sheet1!H:H,1,0)</f>
        <v>#N/A</v>
      </c>
    </row>
    <row r="336" spans="1:12">
      <c r="A336" t="s">
        <v>552</v>
      </c>
      <c r="B336" t="s">
        <v>565</v>
      </c>
      <c r="C336" t="s">
        <v>210</v>
      </c>
      <c r="D336" t="s">
        <v>211</v>
      </c>
      <c r="E336" t="s">
        <v>566</v>
      </c>
      <c r="F336" t="s">
        <v>567</v>
      </c>
      <c r="G336" t="s">
        <v>643</v>
      </c>
      <c r="H336">
        <v>5207801</v>
      </c>
      <c r="I336" t="s">
        <v>214</v>
      </c>
      <c r="J336" s="14">
        <v>46083</v>
      </c>
      <c r="K336" t="s">
        <v>569</v>
      </c>
      <c r="L336" t="e">
        <f>VLOOKUP(H336,Sheet1!H:H,1,0)</f>
        <v>#N/A</v>
      </c>
    </row>
    <row r="337" spans="1:12">
      <c r="A337" t="s">
        <v>552</v>
      </c>
      <c r="B337" t="s">
        <v>565</v>
      </c>
      <c r="C337" t="s">
        <v>210</v>
      </c>
      <c r="D337" t="s">
        <v>211</v>
      </c>
      <c r="E337" t="s">
        <v>566</v>
      </c>
      <c r="F337" t="s">
        <v>567</v>
      </c>
      <c r="G337" t="s">
        <v>644</v>
      </c>
      <c r="H337">
        <v>4652101</v>
      </c>
      <c r="I337" t="s">
        <v>214</v>
      </c>
      <c r="J337" s="14">
        <v>45600</v>
      </c>
      <c r="K337" t="s">
        <v>569</v>
      </c>
      <c r="L337" t="e">
        <f>VLOOKUP(H337,Sheet1!H:H,1,0)</f>
        <v>#N/A</v>
      </c>
    </row>
    <row r="338" spans="1:12">
      <c r="A338" t="s">
        <v>552</v>
      </c>
      <c r="B338" t="s">
        <v>209</v>
      </c>
      <c r="C338" t="s">
        <v>210</v>
      </c>
      <c r="D338" t="s">
        <v>287</v>
      </c>
      <c r="E338" t="s">
        <v>621</v>
      </c>
      <c r="F338" t="s">
        <v>36</v>
      </c>
      <c r="G338" t="s">
        <v>645</v>
      </c>
      <c r="H338">
        <v>4642501</v>
      </c>
      <c r="I338" t="s">
        <v>301</v>
      </c>
      <c r="J338" s="14">
        <v>46082</v>
      </c>
      <c r="K338" t="s">
        <v>624</v>
      </c>
      <c r="L338" t="e">
        <f>VLOOKUP(H338,Sheet1!H:H,1,0)</f>
        <v>#N/A</v>
      </c>
    </row>
    <row r="339" spans="1:12">
      <c r="A339" t="s">
        <v>552</v>
      </c>
      <c r="B339" t="s">
        <v>293</v>
      </c>
      <c r="C339" t="s">
        <v>210</v>
      </c>
      <c r="D339" t="s">
        <v>287</v>
      </c>
      <c r="E339" t="s">
        <v>609</v>
      </c>
      <c r="F339" t="s">
        <v>562</v>
      </c>
      <c r="G339" t="s">
        <v>646</v>
      </c>
      <c r="H339">
        <v>4113401</v>
      </c>
      <c r="I339" t="s">
        <v>308</v>
      </c>
      <c r="J339" s="14">
        <v>45855</v>
      </c>
      <c r="K339" t="s">
        <v>611</v>
      </c>
      <c r="L339" t="e">
        <f>VLOOKUP(H339,Sheet1!H:H,1,0)</f>
        <v>#N/A</v>
      </c>
    </row>
    <row r="340" spans="1:12">
      <c r="A340" t="s">
        <v>552</v>
      </c>
      <c r="B340" t="s">
        <v>293</v>
      </c>
      <c r="C340" t="s">
        <v>210</v>
      </c>
      <c r="D340" t="s">
        <v>287</v>
      </c>
      <c r="E340" t="s">
        <v>609</v>
      </c>
      <c r="F340" t="s">
        <v>562</v>
      </c>
      <c r="G340" t="s">
        <v>647</v>
      </c>
      <c r="H340">
        <v>4411701</v>
      </c>
      <c r="I340" t="s">
        <v>316</v>
      </c>
      <c r="J340" s="14">
        <v>45572</v>
      </c>
      <c r="K340" t="s">
        <v>611</v>
      </c>
      <c r="L340" t="e">
        <f>VLOOKUP(H340,Sheet1!H:H,1,0)</f>
        <v>#N/A</v>
      </c>
    </row>
    <row r="341" spans="1:12">
      <c r="A341" t="s">
        <v>552</v>
      </c>
      <c r="B341" t="s">
        <v>286</v>
      </c>
      <c r="C341" t="s">
        <v>210</v>
      </c>
      <c r="D341" t="s">
        <v>287</v>
      </c>
      <c r="E341" t="s">
        <v>586</v>
      </c>
      <c r="F341" t="s">
        <v>648</v>
      </c>
      <c r="G341" t="s">
        <v>649</v>
      </c>
      <c r="H341">
        <v>3264101</v>
      </c>
      <c r="I341" t="s">
        <v>650</v>
      </c>
      <c r="J341" s="14">
        <v>42598</v>
      </c>
      <c r="K341" t="s">
        <v>559</v>
      </c>
      <c r="L341" t="e">
        <f>VLOOKUP(H341,Sheet1!H:H,1,0)</f>
        <v>#N/A</v>
      </c>
    </row>
    <row r="342" spans="1:12">
      <c r="A342" t="s">
        <v>552</v>
      </c>
      <c r="B342" t="s">
        <v>209</v>
      </c>
      <c r="C342" t="s">
        <v>210</v>
      </c>
      <c r="D342" t="s">
        <v>287</v>
      </c>
      <c r="E342" t="s">
        <v>651</v>
      </c>
      <c r="F342" t="s">
        <v>34</v>
      </c>
      <c r="G342" t="s">
        <v>652</v>
      </c>
      <c r="H342">
        <v>4192801</v>
      </c>
      <c r="I342" t="s">
        <v>653</v>
      </c>
      <c r="J342" s="14">
        <v>45338</v>
      </c>
      <c r="K342" t="s">
        <v>654</v>
      </c>
      <c r="L342" t="e">
        <f>VLOOKUP(H342,Sheet1!H:H,1,0)</f>
        <v>#N/A</v>
      </c>
    </row>
    <row r="343" spans="1:12">
      <c r="A343" t="s">
        <v>552</v>
      </c>
      <c r="B343" t="s">
        <v>286</v>
      </c>
      <c r="C343" t="s">
        <v>210</v>
      </c>
      <c r="D343" t="s">
        <v>287</v>
      </c>
      <c r="E343" t="s">
        <v>557</v>
      </c>
      <c r="F343" t="s">
        <v>558</v>
      </c>
      <c r="G343" t="s">
        <v>655</v>
      </c>
      <c r="H343">
        <v>2045401</v>
      </c>
      <c r="I343" t="s">
        <v>656</v>
      </c>
      <c r="J343" s="14">
        <v>42156</v>
      </c>
      <c r="K343" t="s">
        <v>561</v>
      </c>
      <c r="L343" t="e">
        <f>VLOOKUP(H343,Sheet1!H:H,1,0)</f>
        <v>#N/A</v>
      </c>
    </row>
    <row r="344" spans="1:12">
      <c r="A344" t="s">
        <v>552</v>
      </c>
      <c r="B344" t="s">
        <v>565</v>
      </c>
      <c r="C344" t="s">
        <v>210</v>
      </c>
      <c r="D344" t="s">
        <v>287</v>
      </c>
      <c r="E344" t="s">
        <v>557</v>
      </c>
      <c r="F344" t="s">
        <v>587</v>
      </c>
      <c r="G344" t="s">
        <v>654</v>
      </c>
      <c r="H344">
        <v>1998701</v>
      </c>
      <c r="I344" t="s">
        <v>657</v>
      </c>
      <c r="J344" s="14">
        <v>39545</v>
      </c>
      <c r="K344" t="s">
        <v>561</v>
      </c>
      <c r="L344" t="e">
        <f>VLOOKUP(H344,Sheet1!H:H,1,0)</f>
        <v>#N/A</v>
      </c>
    </row>
    <row r="345" spans="1:12">
      <c r="A345" t="s">
        <v>552</v>
      </c>
      <c r="B345" t="s">
        <v>293</v>
      </c>
      <c r="C345" t="s">
        <v>210</v>
      </c>
      <c r="D345" t="s">
        <v>287</v>
      </c>
      <c r="E345" t="s">
        <v>609</v>
      </c>
      <c r="F345" t="s">
        <v>562</v>
      </c>
      <c r="G345" t="s">
        <v>658</v>
      </c>
      <c r="H345">
        <v>4287001</v>
      </c>
      <c r="I345" t="s">
        <v>308</v>
      </c>
      <c r="J345" s="14">
        <v>46048</v>
      </c>
      <c r="K345" t="s">
        <v>611</v>
      </c>
      <c r="L345" t="e">
        <f>VLOOKUP(H345,Sheet1!H:H,1,0)</f>
        <v>#N/A</v>
      </c>
    </row>
    <row r="346" spans="1:12">
      <c r="A346" t="s">
        <v>552</v>
      </c>
      <c r="B346" t="s">
        <v>293</v>
      </c>
      <c r="C346" t="s">
        <v>210</v>
      </c>
      <c r="D346" t="s">
        <v>287</v>
      </c>
      <c r="E346" t="s">
        <v>621</v>
      </c>
      <c r="F346" t="s">
        <v>562</v>
      </c>
      <c r="G346" t="s">
        <v>659</v>
      </c>
      <c r="H346">
        <v>2729801</v>
      </c>
      <c r="I346" t="s">
        <v>660</v>
      </c>
      <c r="J346" s="14">
        <v>43252</v>
      </c>
      <c r="K346" t="s">
        <v>624</v>
      </c>
      <c r="L346" t="e">
        <f>VLOOKUP(H346,Sheet1!H:H,1,0)</f>
        <v>#N/A</v>
      </c>
    </row>
    <row r="347" spans="1:12">
      <c r="A347" t="s">
        <v>552</v>
      </c>
      <c r="B347" t="s">
        <v>565</v>
      </c>
      <c r="C347" t="s">
        <v>210</v>
      </c>
      <c r="D347" t="s">
        <v>287</v>
      </c>
      <c r="E347" t="s">
        <v>557</v>
      </c>
      <c r="F347" t="s">
        <v>587</v>
      </c>
      <c r="G347" t="s">
        <v>661</v>
      </c>
      <c r="H347">
        <v>3989301</v>
      </c>
      <c r="I347" t="s">
        <v>564</v>
      </c>
      <c r="J347" s="14">
        <v>44123</v>
      </c>
      <c r="K347" t="s">
        <v>561</v>
      </c>
      <c r="L347" t="e">
        <f>VLOOKUP(H347,Sheet1!H:H,1,0)</f>
        <v>#N/A</v>
      </c>
    </row>
    <row r="348" spans="1:12">
      <c r="A348" t="s">
        <v>552</v>
      </c>
      <c r="B348" t="s">
        <v>286</v>
      </c>
      <c r="C348" t="s">
        <v>210</v>
      </c>
      <c r="D348" t="s">
        <v>211</v>
      </c>
      <c r="E348" t="s">
        <v>662</v>
      </c>
      <c r="F348" t="s">
        <v>648</v>
      </c>
      <c r="G348" t="s">
        <v>663</v>
      </c>
      <c r="H348">
        <v>4571601</v>
      </c>
      <c r="I348" t="s">
        <v>214</v>
      </c>
      <c r="J348" s="14">
        <v>45208</v>
      </c>
      <c r="K348" t="s">
        <v>664</v>
      </c>
      <c r="L348" t="e">
        <f>VLOOKUP(H348,Sheet1!H:H,1,0)</f>
        <v>#N/A</v>
      </c>
    </row>
    <row r="349" spans="1:12">
      <c r="A349" t="s">
        <v>552</v>
      </c>
      <c r="B349" t="s">
        <v>286</v>
      </c>
      <c r="C349" t="s">
        <v>210</v>
      </c>
      <c r="D349" t="s">
        <v>211</v>
      </c>
      <c r="E349" t="s">
        <v>665</v>
      </c>
      <c r="F349" t="s">
        <v>558</v>
      </c>
      <c r="G349" t="s">
        <v>666</v>
      </c>
      <c r="H349">
        <v>4640701</v>
      </c>
      <c r="I349" t="s">
        <v>214</v>
      </c>
      <c r="J349" s="14">
        <v>45323</v>
      </c>
      <c r="K349" t="s">
        <v>667</v>
      </c>
      <c r="L349" t="e">
        <f>VLOOKUP(H349,Sheet1!H:H,1,0)</f>
        <v>#N/A</v>
      </c>
    </row>
    <row r="350" spans="1:12">
      <c r="A350" t="s">
        <v>552</v>
      </c>
      <c r="B350" t="s">
        <v>565</v>
      </c>
      <c r="C350" t="s">
        <v>210</v>
      </c>
      <c r="D350" t="s">
        <v>287</v>
      </c>
      <c r="E350" t="s">
        <v>570</v>
      </c>
      <c r="F350" t="s">
        <v>587</v>
      </c>
      <c r="G350" t="s">
        <v>668</v>
      </c>
      <c r="H350">
        <v>4790101</v>
      </c>
      <c r="I350" t="s">
        <v>669</v>
      </c>
      <c r="J350" s="14">
        <v>45523</v>
      </c>
      <c r="K350" t="s">
        <v>573</v>
      </c>
      <c r="L350" t="e">
        <f>VLOOKUP(H350,Sheet1!H:H,1,0)</f>
        <v>#N/A</v>
      </c>
    </row>
    <row r="351" spans="1:12">
      <c r="A351" t="s">
        <v>552</v>
      </c>
      <c r="B351" t="s">
        <v>293</v>
      </c>
      <c r="C351" t="s">
        <v>210</v>
      </c>
      <c r="D351" t="s">
        <v>287</v>
      </c>
      <c r="E351" t="s">
        <v>651</v>
      </c>
      <c r="F351" t="s">
        <v>562</v>
      </c>
      <c r="G351" t="s">
        <v>635</v>
      </c>
      <c r="H351">
        <v>3071501</v>
      </c>
      <c r="I351" t="s">
        <v>670</v>
      </c>
      <c r="J351" s="14">
        <v>43252</v>
      </c>
      <c r="K351" t="s">
        <v>654</v>
      </c>
      <c r="L351" t="e">
        <f>VLOOKUP(H351,Sheet1!H:H,1,0)</f>
        <v>#N/A</v>
      </c>
    </row>
    <row r="352" spans="1:12">
      <c r="A352" t="s">
        <v>552</v>
      </c>
      <c r="B352" t="s">
        <v>286</v>
      </c>
      <c r="C352" t="s">
        <v>210</v>
      </c>
      <c r="D352" t="s">
        <v>287</v>
      </c>
      <c r="E352" t="s">
        <v>626</v>
      </c>
      <c r="F352" t="s">
        <v>36</v>
      </c>
      <c r="G352" t="s">
        <v>671</v>
      </c>
      <c r="H352">
        <v>1523101</v>
      </c>
      <c r="I352" t="s">
        <v>628</v>
      </c>
      <c r="J352" s="14">
        <v>45621</v>
      </c>
      <c r="K352" t="s">
        <v>629</v>
      </c>
      <c r="L352" t="e">
        <f>VLOOKUP(H352,Sheet1!H:H,1,0)</f>
        <v>#N/A</v>
      </c>
    </row>
    <row r="353" spans="1:12">
      <c r="A353" t="s">
        <v>552</v>
      </c>
      <c r="B353" t="s">
        <v>286</v>
      </c>
      <c r="C353" t="s">
        <v>210</v>
      </c>
      <c r="D353" t="s">
        <v>287</v>
      </c>
      <c r="E353" t="s">
        <v>609</v>
      </c>
      <c r="F353" t="s">
        <v>558</v>
      </c>
      <c r="G353" t="s">
        <v>672</v>
      </c>
      <c r="H353">
        <v>4739901</v>
      </c>
      <c r="I353" t="s">
        <v>673</v>
      </c>
      <c r="J353" s="14">
        <v>45398</v>
      </c>
      <c r="K353" t="s">
        <v>611</v>
      </c>
      <c r="L353" t="e">
        <f>VLOOKUP(H353,Sheet1!H:H,1,0)</f>
        <v>#N/A</v>
      </c>
    </row>
    <row r="354" spans="1:12">
      <c r="A354" t="s">
        <v>552</v>
      </c>
      <c r="B354" t="s">
        <v>286</v>
      </c>
      <c r="C354" t="s">
        <v>210</v>
      </c>
      <c r="D354" t="s">
        <v>211</v>
      </c>
      <c r="E354" t="s">
        <v>662</v>
      </c>
      <c r="F354" t="s">
        <v>648</v>
      </c>
      <c r="G354" t="s">
        <v>674</v>
      </c>
      <c r="H354">
        <v>3622301</v>
      </c>
      <c r="I354" t="s">
        <v>222</v>
      </c>
      <c r="J354" s="14">
        <v>45698</v>
      </c>
      <c r="K354" t="s">
        <v>664</v>
      </c>
      <c r="L354" t="e">
        <f>VLOOKUP(H354,Sheet1!H:H,1,0)</f>
        <v>#N/A</v>
      </c>
    </row>
    <row r="355" spans="1:12">
      <c r="A355" t="s">
        <v>552</v>
      </c>
      <c r="B355" t="s">
        <v>286</v>
      </c>
      <c r="C355" t="s">
        <v>210</v>
      </c>
      <c r="D355" t="s">
        <v>211</v>
      </c>
      <c r="E355" t="s">
        <v>665</v>
      </c>
      <c r="F355" t="s">
        <v>558</v>
      </c>
      <c r="G355" t="s">
        <v>675</v>
      </c>
      <c r="H355">
        <v>5164901</v>
      </c>
      <c r="I355" t="s">
        <v>214</v>
      </c>
      <c r="J355" s="14">
        <v>45985</v>
      </c>
      <c r="K355" t="s">
        <v>667</v>
      </c>
      <c r="L355" t="e">
        <f>VLOOKUP(H355,Sheet1!H:H,1,0)</f>
        <v>#N/A</v>
      </c>
    </row>
    <row r="356" spans="1:12">
      <c r="A356" t="s">
        <v>552</v>
      </c>
      <c r="B356" t="s">
        <v>565</v>
      </c>
      <c r="C356" t="s">
        <v>210</v>
      </c>
      <c r="D356" t="s">
        <v>287</v>
      </c>
      <c r="E356" t="s">
        <v>651</v>
      </c>
      <c r="F356" t="s">
        <v>587</v>
      </c>
      <c r="G356" t="s">
        <v>676</v>
      </c>
      <c r="H356">
        <v>3227601</v>
      </c>
      <c r="I356" t="s">
        <v>295</v>
      </c>
      <c r="J356" s="14">
        <v>43136</v>
      </c>
      <c r="K356" t="s">
        <v>654</v>
      </c>
      <c r="L356" t="e">
        <f>VLOOKUP(H356,Sheet1!H:H,1,0)</f>
        <v>#N/A</v>
      </c>
    </row>
    <row r="357" spans="1:12">
      <c r="A357" t="s">
        <v>552</v>
      </c>
      <c r="B357" t="s">
        <v>286</v>
      </c>
      <c r="C357" t="s">
        <v>210</v>
      </c>
      <c r="D357" t="s">
        <v>211</v>
      </c>
      <c r="E357" t="s">
        <v>662</v>
      </c>
      <c r="F357" t="s">
        <v>648</v>
      </c>
      <c r="G357" t="s">
        <v>677</v>
      </c>
      <c r="H357">
        <v>4207101</v>
      </c>
      <c r="I357" t="s">
        <v>214</v>
      </c>
      <c r="J357" s="14">
        <v>46097</v>
      </c>
      <c r="K357" t="s">
        <v>664</v>
      </c>
      <c r="L357" t="e">
        <f>VLOOKUP(H357,Sheet1!H:H,1,0)</f>
        <v>#N/A</v>
      </c>
    </row>
    <row r="358" spans="1:12">
      <c r="A358" t="s">
        <v>552</v>
      </c>
      <c r="B358" t="s">
        <v>286</v>
      </c>
      <c r="C358" t="s">
        <v>210</v>
      </c>
      <c r="D358" t="s">
        <v>211</v>
      </c>
      <c r="E358" t="s">
        <v>665</v>
      </c>
      <c r="F358" t="s">
        <v>558</v>
      </c>
      <c r="G358" t="s">
        <v>678</v>
      </c>
      <c r="H358">
        <v>4249001</v>
      </c>
      <c r="I358" t="s">
        <v>214</v>
      </c>
      <c r="J358" s="14">
        <v>44608</v>
      </c>
      <c r="K358" t="s">
        <v>667</v>
      </c>
      <c r="L358" t="e">
        <f>VLOOKUP(H358,Sheet1!H:H,1,0)</f>
        <v>#N/A</v>
      </c>
    </row>
    <row r="359" spans="1:12">
      <c r="A359" t="s">
        <v>552</v>
      </c>
      <c r="B359" t="s">
        <v>293</v>
      </c>
      <c r="C359" t="s">
        <v>210</v>
      </c>
      <c r="D359" t="s">
        <v>287</v>
      </c>
      <c r="E359" t="s">
        <v>609</v>
      </c>
      <c r="F359" t="s">
        <v>562</v>
      </c>
      <c r="G359" t="s">
        <v>679</v>
      </c>
      <c r="H359">
        <v>5035301</v>
      </c>
      <c r="I359" t="s">
        <v>316</v>
      </c>
      <c r="J359" s="14">
        <v>45922</v>
      </c>
      <c r="K359" t="s">
        <v>611</v>
      </c>
      <c r="L359" t="e">
        <f>VLOOKUP(H359,Sheet1!H:H,1,0)</f>
        <v>#N/A</v>
      </c>
    </row>
    <row r="360" spans="1:12">
      <c r="A360" t="s">
        <v>552</v>
      </c>
      <c r="B360" t="s">
        <v>286</v>
      </c>
      <c r="C360" t="s">
        <v>210</v>
      </c>
      <c r="D360" t="s">
        <v>211</v>
      </c>
      <c r="E360" t="s">
        <v>662</v>
      </c>
      <c r="F360" t="s">
        <v>648</v>
      </c>
      <c r="G360" t="s">
        <v>680</v>
      </c>
      <c r="H360">
        <v>4957901</v>
      </c>
      <c r="I360" t="s">
        <v>214</v>
      </c>
      <c r="J360" s="14">
        <v>46069</v>
      </c>
      <c r="K360" t="s">
        <v>664</v>
      </c>
      <c r="L360" t="e">
        <f>VLOOKUP(H360,Sheet1!H:H,1,0)</f>
        <v>#N/A</v>
      </c>
    </row>
    <row r="361" spans="1:12">
      <c r="A361" t="s">
        <v>552</v>
      </c>
      <c r="B361" t="s">
        <v>286</v>
      </c>
      <c r="C361" t="s">
        <v>210</v>
      </c>
      <c r="D361" t="s">
        <v>211</v>
      </c>
      <c r="E361" t="s">
        <v>665</v>
      </c>
      <c r="F361" t="s">
        <v>558</v>
      </c>
      <c r="G361" t="s">
        <v>681</v>
      </c>
      <c r="H361">
        <v>4474101</v>
      </c>
      <c r="I361" t="s">
        <v>214</v>
      </c>
      <c r="J361" s="14">
        <v>45231</v>
      </c>
      <c r="K361" t="s">
        <v>667</v>
      </c>
      <c r="L361" t="e">
        <f>VLOOKUP(H361,Sheet1!H:H,1,0)</f>
        <v>#N/A</v>
      </c>
    </row>
    <row r="362" spans="1:12">
      <c r="A362" t="s">
        <v>552</v>
      </c>
      <c r="B362" t="s">
        <v>286</v>
      </c>
      <c r="C362" t="s">
        <v>210</v>
      </c>
      <c r="D362" t="s">
        <v>211</v>
      </c>
      <c r="E362" t="s">
        <v>633</v>
      </c>
      <c r="F362" t="s">
        <v>558</v>
      </c>
      <c r="G362" t="s">
        <v>667</v>
      </c>
      <c r="H362">
        <v>3031301</v>
      </c>
      <c r="I362" t="s">
        <v>225</v>
      </c>
      <c r="J362" s="14">
        <v>42086</v>
      </c>
      <c r="K362" t="s">
        <v>635</v>
      </c>
      <c r="L362" t="e">
        <f>VLOOKUP(H362,Sheet1!H:H,1,0)</f>
        <v>#N/A</v>
      </c>
    </row>
    <row r="363" spans="1:12">
      <c r="A363" t="s">
        <v>552</v>
      </c>
      <c r="B363" t="s">
        <v>286</v>
      </c>
      <c r="C363" t="s">
        <v>210</v>
      </c>
      <c r="D363" t="s">
        <v>211</v>
      </c>
      <c r="E363" t="s">
        <v>633</v>
      </c>
      <c r="F363" t="s">
        <v>648</v>
      </c>
      <c r="G363" t="s">
        <v>664</v>
      </c>
      <c r="H363">
        <v>1667101</v>
      </c>
      <c r="I363" t="s">
        <v>225</v>
      </c>
      <c r="J363" s="14">
        <v>38854</v>
      </c>
      <c r="K363" t="s">
        <v>635</v>
      </c>
      <c r="L363" t="e">
        <f>VLOOKUP(H363,Sheet1!H:H,1,0)</f>
        <v>#N/A</v>
      </c>
    </row>
    <row r="364" spans="1:12">
      <c r="A364" t="s">
        <v>552</v>
      </c>
      <c r="B364" t="s">
        <v>565</v>
      </c>
      <c r="C364" t="s">
        <v>210</v>
      </c>
      <c r="D364" t="s">
        <v>287</v>
      </c>
      <c r="E364" t="s">
        <v>609</v>
      </c>
      <c r="F364" t="s">
        <v>587</v>
      </c>
      <c r="G364" t="s">
        <v>682</v>
      </c>
      <c r="H364">
        <v>1354401</v>
      </c>
      <c r="I364" t="s">
        <v>488</v>
      </c>
      <c r="J364" s="14">
        <v>43252</v>
      </c>
      <c r="K364" t="s">
        <v>611</v>
      </c>
      <c r="L364" t="e">
        <f>VLOOKUP(H364,Sheet1!H:H,1,0)</f>
        <v>#N/A</v>
      </c>
    </row>
    <row r="365" spans="1:12">
      <c r="A365" t="s">
        <v>552</v>
      </c>
      <c r="B365" t="s">
        <v>293</v>
      </c>
      <c r="C365" t="s">
        <v>210</v>
      </c>
      <c r="D365" t="s">
        <v>287</v>
      </c>
      <c r="E365" t="s">
        <v>586</v>
      </c>
      <c r="F365" t="s">
        <v>36</v>
      </c>
      <c r="G365" t="s">
        <v>683</v>
      </c>
      <c r="H365">
        <v>4307901</v>
      </c>
      <c r="I365" t="s">
        <v>684</v>
      </c>
      <c r="J365" s="14">
        <v>44669</v>
      </c>
      <c r="K365" t="s">
        <v>559</v>
      </c>
      <c r="L365" t="e">
        <f>VLOOKUP(H365,Sheet1!H:H,1,0)</f>
        <v>#N/A</v>
      </c>
    </row>
    <row r="366" spans="1:12">
      <c r="A366" t="s">
        <v>552</v>
      </c>
      <c r="B366" t="s">
        <v>286</v>
      </c>
      <c r="C366" t="s">
        <v>210</v>
      </c>
      <c r="D366" t="s">
        <v>211</v>
      </c>
      <c r="E366" t="s">
        <v>662</v>
      </c>
      <c r="F366" t="s">
        <v>648</v>
      </c>
      <c r="G366" t="s">
        <v>685</v>
      </c>
      <c r="H366">
        <v>5210801</v>
      </c>
      <c r="I366" t="s">
        <v>214</v>
      </c>
      <c r="J366" s="14">
        <v>46097</v>
      </c>
      <c r="K366" t="s">
        <v>664</v>
      </c>
      <c r="L366" t="e">
        <f>VLOOKUP(H366,Sheet1!H:H,1,0)</f>
        <v>#N/A</v>
      </c>
    </row>
    <row r="367" spans="1:12">
      <c r="A367" t="s">
        <v>552</v>
      </c>
      <c r="B367" t="s">
        <v>565</v>
      </c>
      <c r="C367" t="s">
        <v>210</v>
      </c>
      <c r="D367" t="s">
        <v>287</v>
      </c>
      <c r="E367" t="s">
        <v>557</v>
      </c>
      <c r="F367" t="s">
        <v>587</v>
      </c>
      <c r="G367" t="s">
        <v>686</v>
      </c>
      <c r="H367">
        <v>2564401</v>
      </c>
      <c r="I367" t="s">
        <v>313</v>
      </c>
      <c r="J367" s="14">
        <v>41071</v>
      </c>
      <c r="K367" t="s">
        <v>561</v>
      </c>
      <c r="L367" t="e">
        <f>VLOOKUP(H367,Sheet1!H:H,1,0)</f>
        <v>#N/A</v>
      </c>
    </row>
    <row r="368" spans="1:12">
      <c r="A368" t="s">
        <v>552</v>
      </c>
      <c r="B368" t="s">
        <v>565</v>
      </c>
      <c r="C368" t="s">
        <v>210</v>
      </c>
      <c r="D368" t="s">
        <v>287</v>
      </c>
      <c r="E368" t="s">
        <v>570</v>
      </c>
      <c r="F368" t="s">
        <v>36</v>
      </c>
      <c r="G368" t="s">
        <v>687</v>
      </c>
      <c r="H368">
        <v>3037701</v>
      </c>
      <c r="I368" t="s">
        <v>688</v>
      </c>
      <c r="J368" s="14">
        <v>45187</v>
      </c>
      <c r="K368" t="s">
        <v>573</v>
      </c>
      <c r="L368" t="e">
        <f>VLOOKUP(H368,Sheet1!H:H,1,0)</f>
        <v>#N/A</v>
      </c>
    </row>
    <row r="369" spans="1:12">
      <c r="A369" t="s">
        <v>552</v>
      </c>
      <c r="B369" t="s">
        <v>286</v>
      </c>
      <c r="C369" t="s">
        <v>210</v>
      </c>
      <c r="D369" t="s">
        <v>211</v>
      </c>
      <c r="E369" t="s">
        <v>665</v>
      </c>
      <c r="F369" t="s">
        <v>558</v>
      </c>
      <c r="G369" t="s">
        <v>689</v>
      </c>
      <c r="H369">
        <v>2385901</v>
      </c>
      <c r="I369" t="s">
        <v>690</v>
      </c>
      <c r="J369" s="14">
        <v>40611</v>
      </c>
      <c r="K369" t="s">
        <v>667</v>
      </c>
      <c r="L369" t="e">
        <f>VLOOKUP(H369,Sheet1!H:H,1,0)</f>
        <v>#N/A</v>
      </c>
    </row>
    <row r="370" spans="1:12">
      <c r="A370" t="s">
        <v>552</v>
      </c>
      <c r="B370" t="s">
        <v>286</v>
      </c>
      <c r="C370" t="s">
        <v>210</v>
      </c>
      <c r="D370" t="s">
        <v>211</v>
      </c>
      <c r="E370" t="s">
        <v>662</v>
      </c>
      <c r="F370" t="s">
        <v>648</v>
      </c>
      <c r="G370" t="s">
        <v>691</v>
      </c>
      <c r="H370">
        <v>5023801</v>
      </c>
      <c r="I370" t="s">
        <v>220</v>
      </c>
      <c r="J370" s="14">
        <v>45868</v>
      </c>
      <c r="K370" t="s">
        <v>664</v>
      </c>
      <c r="L370" t="e">
        <f>VLOOKUP(H370,Sheet1!H:H,1,0)</f>
        <v>#N/A</v>
      </c>
    </row>
    <row r="371" spans="1:12">
      <c r="A371" t="s">
        <v>552</v>
      </c>
      <c r="B371" t="s">
        <v>286</v>
      </c>
      <c r="C371" t="s">
        <v>210</v>
      </c>
      <c r="D371" t="s">
        <v>211</v>
      </c>
      <c r="E371" t="s">
        <v>662</v>
      </c>
      <c r="F371" t="s">
        <v>648</v>
      </c>
      <c r="G371" t="s">
        <v>692</v>
      </c>
      <c r="H371">
        <v>5163301</v>
      </c>
      <c r="I371" t="s">
        <v>220</v>
      </c>
      <c r="J371" s="14">
        <v>45986</v>
      </c>
      <c r="K371" t="s">
        <v>664</v>
      </c>
      <c r="L371" t="e">
        <f>VLOOKUP(H371,Sheet1!H:H,1,0)</f>
        <v>#N/A</v>
      </c>
    </row>
    <row r="372" spans="1:12">
      <c r="A372" t="s">
        <v>552</v>
      </c>
      <c r="B372" t="s">
        <v>286</v>
      </c>
      <c r="C372" t="s">
        <v>210</v>
      </c>
      <c r="D372" t="s">
        <v>211</v>
      </c>
      <c r="E372" t="s">
        <v>665</v>
      </c>
      <c r="F372" t="s">
        <v>558</v>
      </c>
      <c r="G372" t="s">
        <v>693</v>
      </c>
      <c r="H372">
        <v>4360301</v>
      </c>
      <c r="I372" t="s">
        <v>214</v>
      </c>
      <c r="J372" s="14">
        <v>44930</v>
      </c>
      <c r="K372" t="s">
        <v>667</v>
      </c>
      <c r="L372" t="e">
        <f>VLOOKUP(H372,Sheet1!H:H,1,0)</f>
        <v>#N/A</v>
      </c>
    </row>
    <row r="373" spans="1:12">
      <c r="A373" t="s">
        <v>552</v>
      </c>
      <c r="B373" t="s">
        <v>286</v>
      </c>
      <c r="C373" t="s">
        <v>210</v>
      </c>
      <c r="D373" t="s">
        <v>211</v>
      </c>
      <c r="E373" t="s">
        <v>665</v>
      </c>
      <c r="F373" t="s">
        <v>558</v>
      </c>
      <c r="G373" t="s">
        <v>694</v>
      </c>
      <c r="H373">
        <v>5024101</v>
      </c>
      <c r="I373" t="s">
        <v>214</v>
      </c>
      <c r="J373" s="14">
        <v>45880</v>
      </c>
      <c r="K373" t="s">
        <v>667</v>
      </c>
      <c r="L373" t="e">
        <f>VLOOKUP(H373,Sheet1!H:H,1,0)</f>
        <v>#N/A</v>
      </c>
    </row>
    <row r="374" spans="1:12">
      <c r="A374" t="s">
        <v>552</v>
      </c>
      <c r="B374" t="s">
        <v>286</v>
      </c>
      <c r="C374" t="s">
        <v>210</v>
      </c>
      <c r="D374" t="s">
        <v>211</v>
      </c>
      <c r="E374" t="s">
        <v>662</v>
      </c>
      <c r="F374" t="s">
        <v>648</v>
      </c>
      <c r="G374" t="s">
        <v>695</v>
      </c>
      <c r="H374">
        <v>4613801</v>
      </c>
      <c r="I374" t="s">
        <v>214</v>
      </c>
      <c r="J374" s="14">
        <v>45231</v>
      </c>
      <c r="K374" t="s">
        <v>664</v>
      </c>
      <c r="L374" t="e">
        <f>VLOOKUP(H374,Sheet1!H:H,1,0)</f>
        <v>#N/A</v>
      </c>
    </row>
    <row r="375" spans="1:12">
      <c r="A375" t="s">
        <v>552</v>
      </c>
      <c r="B375" t="s">
        <v>286</v>
      </c>
      <c r="C375" t="s">
        <v>210</v>
      </c>
      <c r="D375" t="s">
        <v>211</v>
      </c>
      <c r="E375" t="s">
        <v>665</v>
      </c>
      <c r="F375" t="s">
        <v>558</v>
      </c>
      <c r="G375" t="s">
        <v>696</v>
      </c>
      <c r="H375">
        <v>3813401</v>
      </c>
      <c r="I375" t="s">
        <v>222</v>
      </c>
      <c r="J375" s="14">
        <v>44758</v>
      </c>
      <c r="K375" t="s">
        <v>667</v>
      </c>
      <c r="L375" t="e">
        <f>VLOOKUP(H375,Sheet1!H:H,1,0)</f>
        <v>#N/A</v>
      </c>
    </row>
    <row r="376" spans="1:12">
      <c r="A376" t="s">
        <v>552</v>
      </c>
      <c r="B376" t="s">
        <v>286</v>
      </c>
      <c r="C376" t="s">
        <v>210</v>
      </c>
      <c r="D376" t="s">
        <v>287</v>
      </c>
      <c r="E376" t="s">
        <v>651</v>
      </c>
      <c r="F376" t="s">
        <v>558</v>
      </c>
      <c r="G376" t="s">
        <v>697</v>
      </c>
      <c r="H376">
        <v>3603201</v>
      </c>
      <c r="I376" t="s">
        <v>698</v>
      </c>
      <c r="J376" s="14">
        <v>45901</v>
      </c>
      <c r="K376" t="s">
        <v>654</v>
      </c>
      <c r="L376" t="e">
        <f>VLOOKUP(H376,Sheet1!H:H,1,0)</f>
        <v>#N/A</v>
      </c>
    </row>
    <row r="377" spans="1:12">
      <c r="A377" t="s">
        <v>552</v>
      </c>
      <c r="B377" t="s">
        <v>209</v>
      </c>
      <c r="C377" t="s">
        <v>210</v>
      </c>
      <c r="D377" t="s">
        <v>211</v>
      </c>
      <c r="E377" t="s">
        <v>699</v>
      </c>
      <c r="F377" t="s">
        <v>700</v>
      </c>
      <c r="G377" t="s">
        <v>701</v>
      </c>
      <c r="H377">
        <v>4789701</v>
      </c>
      <c r="I377" t="s">
        <v>214</v>
      </c>
      <c r="J377" s="14">
        <v>45593</v>
      </c>
      <c r="L377" t="e">
        <f>VLOOKUP(H377,Sheet1!H:H,1,0)</f>
        <v>#N/A</v>
      </c>
    </row>
    <row r="378" spans="1:12">
      <c r="A378" t="s">
        <v>552</v>
      </c>
      <c r="B378" t="s">
        <v>286</v>
      </c>
      <c r="C378" t="s">
        <v>210</v>
      </c>
      <c r="D378" t="s">
        <v>287</v>
      </c>
      <c r="E378" t="s">
        <v>621</v>
      </c>
      <c r="F378" t="s">
        <v>558</v>
      </c>
      <c r="G378" t="s">
        <v>702</v>
      </c>
      <c r="H378">
        <v>3820001</v>
      </c>
      <c r="I378" t="s">
        <v>301</v>
      </c>
      <c r="J378" s="14">
        <v>43647</v>
      </c>
      <c r="K378" t="s">
        <v>624</v>
      </c>
      <c r="L378" t="e">
        <f>VLOOKUP(H378,Sheet1!H:H,1,0)</f>
        <v>#N/A</v>
      </c>
    </row>
    <row r="379" spans="1:12">
      <c r="A379" t="s">
        <v>552</v>
      </c>
      <c r="B379" t="s">
        <v>209</v>
      </c>
      <c r="C379" t="s">
        <v>210</v>
      </c>
      <c r="D379" t="s">
        <v>211</v>
      </c>
      <c r="E379" t="s">
        <v>699</v>
      </c>
      <c r="F379" t="s">
        <v>700</v>
      </c>
      <c r="G379" t="s">
        <v>703</v>
      </c>
      <c r="H379">
        <v>4933801</v>
      </c>
      <c r="I379" t="s">
        <v>214</v>
      </c>
      <c r="J379" s="14">
        <v>45593</v>
      </c>
      <c r="L379" t="e">
        <f>VLOOKUP(H379,Sheet1!H:H,1,0)</f>
        <v>#N/A</v>
      </c>
    </row>
    <row r="380" spans="1:12">
      <c r="A380" t="s">
        <v>552</v>
      </c>
      <c r="B380" t="s">
        <v>209</v>
      </c>
      <c r="C380" t="s">
        <v>210</v>
      </c>
      <c r="D380" t="s">
        <v>211</v>
      </c>
      <c r="E380" t="s">
        <v>704</v>
      </c>
      <c r="F380" t="s">
        <v>34</v>
      </c>
      <c r="G380" t="s">
        <v>705</v>
      </c>
      <c r="H380">
        <v>4991001</v>
      </c>
      <c r="I380" t="s">
        <v>214</v>
      </c>
      <c r="J380" s="14">
        <v>45771</v>
      </c>
      <c r="K380" t="s">
        <v>706</v>
      </c>
      <c r="L380" t="e">
        <f>VLOOKUP(H380,Sheet1!H:H,1,0)</f>
        <v>#N/A</v>
      </c>
    </row>
    <row r="381" spans="1:12">
      <c r="A381" t="s">
        <v>552</v>
      </c>
      <c r="B381" t="s">
        <v>209</v>
      </c>
      <c r="C381" t="s">
        <v>210</v>
      </c>
      <c r="D381" t="s">
        <v>211</v>
      </c>
      <c r="E381" t="s">
        <v>699</v>
      </c>
      <c r="F381" t="s">
        <v>700</v>
      </c>
      <c r="G381" t="s">
        <v>707</v>
      </c>
      <c r="H381">
        <v>5007001</v>
      </c>
      <c r="I381" t="s">
        <v>214</v>
      </c>
      <c r="J381" s="14">
        <v>45831</v>
      </c>
      <c r="L381" t="e">
        <f>VLOOKUP(H381,Sheet1!H:H,1,0)</f>
        <v>#N/A</v>
      </c>
    </row>
    <row r="382" spans="1:12">
      <c r="A382" t="s">
        <v>552</v>
      </c>
      <c r="B382" t="s">
        <v>209</v>
      </c>
      <c r="C382" t="s">
        <v>210</v>
      </c>
      <c r="D382" t="s">
        <v>211</v>
      </c>
      <c r="E382" t="s">
        <v>699</v>
      </c>
      <c r="F382" t="s">
        <v>700</v>
      </c>
      <c r="G382" t="s">
        <v>708</v>
      </c>
      <c r="H382">
        <v>4912801</v>
      </c>
      <c r="I382" t="s">
        <v>214</v>
      </c>
      <c r="J382" s="14">
        <v>45593</v>
      </c>
      <c r="L382" t="e">
        <f>VLOOKUP(H382,Sheet1!H:H,1,0)</f>
        <v>#N/A</v>
      </c>
    </row>
    <row r="383" spans="1:12">
      <c r="A383" t="s">
        <v>552</v>
      </c>
      <c r="B383" t="s">
        <v>209</v>
      </c>
      <c r="C383" t="s">
        <v>210</v>
      </c>
      <c r="D383" t="s">
        <v>211</v>
      </c>
      <c r="E383" t="s">
        <v>699</v>
      </c>
      <c r="F383" t="s">
        <v>700</v>
      </c>
      <c r="G383" t="s">
        <v>709</v>
      </c>
      <c r="H383">
        <v>4913001</v>
      </c>
      <c r="I383" t="s">
        <v>214</v>
      </c>
      <c r="J383" s="14">
        <v>45593</v>
      </c>
      <c r="L383" t="e">
        <f>VLOOKUP(H383,Sheet1!H:H,1,0)</f>
        <v>#N/A</v>
      </c>
    </row>
    <row r="384" spans="1:12">
      <c r="A384" t="s">
        <v>552</v>
      </c>
      <c r="B384" t="s">
        <v>209</v>
      </c>
      <c r="C384" t="s">
        <v>210</v>
      </c>
      <c r="D384" t="s">
        <v>211</v>
      </c>
      <c r="E384" t="s">
        <v>704</v>
      </c>
      <c r="F384" t="s">
        <v>34</v>
      </c>
      <c r="G384" t="s">
        <v>710</v>
      </c>
      <c r="H384">
        <v>5117301</v>
      </c>
      <c r="I384" t="s">
        <v>220</v>
      </c>
      <c r="J384" s="14">
        <v>45957</v>
      </c>
      <c r="K384" t="s">
        <v>706</v>
      </c>
      <c r="L384" t="e">
        <f>VLOOKUP(H384,Sheet1!H:H,1,0)</f>
        <v>#N/A</v>
      </c>
    </row>
    <row r="385" spans="1:12">
      <c r="A385" t="s">
        <v>552</v>
      </c>
      <c r="B385" t="s">
        <v>209</v>
      </c>
      <c r="C385" t="s">
        <v>210</v>
      </c>
      <c r="D385" t="s">
        <v>211</v>
      </c>
      <c r="E385" t="s">
        <v>699</v>
      </c>
      <c r="F385" t="s">
        <v>700</v>
      </c>
      <c r="G385" t="s">
        <v>711</v>
      </c>
      <c r="H385">
        <v>4913201</v>
      </c>
      <c r="I385" t="s">
        <v>214</v>
      </c>
      <c r="J385" s="14">
        <v>45593</v>
      </c>
      <c r="L385" t="e">
        <f>VLOOKUP(H385,Sheet1!H:H,1,0)</f>
        <v>#N/A</v>
      </c>
    </row>
    <row r="386" spans="1:12">
      <c r="A386" t="s">
        <v>552</v>
      </c>
      <c r="B386" t="s">
        <v>209</v>
      </c>
      <c r="C386" t="s">
        <v>210</v>
      </c>
      <c r="D386" t="s">
        <v>211</v>
      </c>
      <c r="E386" t="s">
        <v>704</v>
      </c>
      <c r="F386" t="s">
        <v>34</v>
      </c>
      <c r="G386" t="s">
        <v>712</v>
      </c>
      <c r="H386">
        <v>4953301</v>
      </c>
      <c r="I386" t="s">
        <v>214</v>
      </c>
      <c r="J386" s="14">
        <v>45614</v>
      </c>
      <c r="K386" t="s">
        <v>706</v>
      </c>
      <c r="L386" t="e">
        <f>VLOOKUP(H386,Sheet1!H:H,1,0)</f>
        <v>#N/A</v>
      </c>
    </row>
    <row r="387" spans="1:12">
      <c r="A387" t="s">
        <v>552</v>
      </c>
      <c r="B387" t="s">
        <v>209</v>
      </c>
      <c r="C387" t="s">
        <v>210</v>
      </c>
      <c r="D387" t="s">
        <v>287</v>
      </c>
      <c r="E387" t="s">
        <v>651</v>
      </c>
      <c r="F387" t="s">
        <v>36</v>
      </c>
      <c r="G387" t="s">
        <v>713</v>
      </c>
      <c r="H387">
        <v>3607801</v>
      </c>
      <c r="I387" t="s">
        <v>714</v>
      </c>
      <c r="J387" s="14">
        <v>46023</v>
      </c>
      <c r="K387" t="s">
        <v>654</v>
      </c>
      <c r="L387">
        <f>VLOOKUP(H387,Sheet1!H:H,1,0)</f>
        <v>3607801</v>
      </c>
    </row>
    <row r="388" spans="1:12">
      <c r="A388" t="s">
        <v>552</v>
      </c>
      <c r="B388" t="s">
        <v>209</v>
      </c>
      <c r="C388" t="s">
        <v>210</v>
      </c>
      <c r="D388" t="s">
        <v>211</v>
      </c>
      <c r="E388" t="s">
        <v>699</v>
      </c>
      <c r="F388" t="s">
        <v>700</v>
      </c>
      <c r="G388" t="s">
        <v>715</v>
      </c>
      <c r="H388">
        <v>4866201</v>
      </c>
      <c r="I388" t="s">
        <v>214</v>
      </c>
      <c r="J388" s="14">
        <v>45587</v>
      </c>
      <c r="L388" t="e">
        <f>VLOOKUP(H388,Sheet1!H:H,1,0)</f>
        <v>#N/A</v>
      </c>
    </row>
    <row r="389" spans="1:12">
      <c r="A389" t="s">
        <v>552</v>
      </c>
      <c r="B389" t="s">
        <v>209</v>
      </c>
      <c r="C389" t="s">
        <v>210</v>
      </c>
      <c r="D389" t="s">
        <v>211</v>
      </c>
      <c r="E389" t="s">
        <v>699</v>
      </c>
      <c r="F389" t="s">
        <v>700</v>
      </c>
      <c r="G389" t="s">
        <v>716</v>
      </c>
      <c r="H389">
        <v>4866301</v>
      </c>
      <c r="I389" t="s">
        <v>214</v>
      </c>
      <c r="J389" s="14">
        <v>45586</v>
      </c>
      <c r="L389" t="e">
        <f>VLOOKUP(H389,Sheet1!H:H,1,0)</f>
        <v>#N/A</v>
      </c>
    </row>
    <row r="390" spans="1:12">
      <c r="A390" t="s">
        <v>552</v>
      </c>
      <c r="B390" t="s">
        <v>209</v>
      </c>
      <c r="C390" t="s">
        <v>210</v>
      </c>
      <c r="D390" t="s">
        <v>211</v>
      </c>
      <c r="E390" t="s">
        <v>704</v>
      </c>
      <c r="F390" t="s">
        <v>34</v>
      </c>
      <c r="G390" t="s">
        <v>717</v>
      </c>
      <c r="H390">
        <v>4728701</v>
      </c>
      <c r="I390" t="s">
        <v>243</v>
      </c>
      <c r="J390" s="14">
        <v>45362</v>
      </c>
      <c r="K390" t="s">
        <v>706</v>
      </c>
      <c r="L390" t="e">
        <f>VLOOKUP(H390,Sheet1!H:H,1,0)</f>
        <v>#N/A</v>
      </c>
    </row>
    <row r="391" spans="1:12">
      <c r="A391" t="s">
        <v>552</v>
      </c>
      <c r="B391" t="s">
        <v>209</v>
      </c>
      <c r="C391" t="s">
        <v>210</v>
      </c>
      <c r="D391" t="s">
        <v>211</v>
      </c>
      <c r="E391" t="s">
        <v>699</v>
      </c>
      <c r="F391" t="s">
        <v>700</v>
      </c>
      <c r="G391" t="s">
        <v>718</v>
      </c>
      <c r="H391">
        <v>4867101</v>
      </c>
      <c r="I391" t="s">
        <v>214</v>
      </c>
      <c r="J391" s="14">
        <v>45588</v>
      </c>
      <c r="L391" t="e">
        <f>VLOOKUP(H391,Sheet1!H:H,1,0)</f>
        <v>#N/A</v>
      </c>
    </row>
    <row r="392" spans="1:12">
      <c r="A392" t="s">
        <v>552</v>
      </c>
      <c r="B392" t="s">
        <v>209</v>
      </c>
      <c r="C392" t="s">
        <v>210</v>
      </c>
      <c r="D392" t="s">
        <v>211</v>
      </c>
      <c r="E392" t="s">
        <v>699</v>
      </c>
      <c r="F392" t="s">
        <v>700</v>
      </c>
      <c r="G392" t="s">
        <v>719</v>
      </c>
      <c r="H392">
        <v>5032301</v>
      </c>
      <c r="I392" t="s">
        <v>220</v>
      </c>
      <c r="J392" s="14">
        <v>45908</v>
      </c>
      <c r="L392" t="e">
        <f>VLOOKUP(H392,Sheet1!H:H,1,0)</f>
        <v>#N/A</v>
      </c>
    </row>
    <row r="393" spans="1:12">
      <c r="A393" t="s">
        <v>552</v>
      </c>
      <c r="B393" t="s">
        <v>209</v>
      </c>
      <c r="C393" t="s">
        <v>210</v>
      </c>
      <c r="D393" t="s">
        <v>211</v>
      </c>
      <c r="E393" t="s">
        <v>633</v>
      </c>
      <c r="F393" t="s">
        <v>34</v>
      </c>
      <c r="G393" t="s">
        <v>706</v>
      </c>
      <c r="H393">
        <v>3431301</v>
      </c>
      <c r="I393" t="s">
        <v>225</v>
      </c>
      <c r="J393" s="14">
        <v>42902</v>
      </c>
      <c r="K393" t="s">
        <v>635</v>
      </c>
      <c r="L393" t="e">
        <f>VLOOKUP(H393,Sheet1!H:H,1,0)</f>
        <v>#N/A</v>
      </c>
    </row>
    <row r="394" spans="1:12">
      <c r="A394" t="s">
        <v>552</v>
      </c>
      <c r="B394" t="s">
        <v>565</v>
      </c>
      <c r="C394" t="s">
        <v>210</v>
      </c>
      <c r="D394" t="s">
        <v>287</v>
      </c>
      <c r="E394" t="s">
        <v>557</v>
      </c>
      <c r="F394" t="s">
        <v>587</v>
      </c>
      <c r="G394" t="s">
        <v>720</v>
      </c>
      <c r="H394">
        <v>4544501</v>
      </c>
      <c r="I394" t="s">
        <v>721</v>
      </c>
      <c r="J394" s="14">
        <v>45154</v>
      </c>
      <c r="K394" t="s">
        <v>561</v>
      </c>
      <c r="L394" t="e">
        <f>VLOOKUP(H394,Sheet1!H:H,1,0)</f>
        <v>#N/A</v>
      </c>
    </row>
    <row r="395" spans="1:12">
      <c r="A395" t="s">
        <v>552</v>
      </c>
      <c r="B395" t="s">
        <v>209</v>
      </c>
      <c r="C395" t="s">
        <v>210</v>
      </c>
      <c r="D395" t="s">
        <v>287</v>
      </c>
      <c r="E395" t="s">
        <v>626</v>
      </c>
      <c r="F395" t="s">
        <v>36</v>
      </c>
      <c r="G395" t="s">
        <v>722</v>
      </c>
      <c r="H395">
        <v>4286901</v>
      </c>
      <c r="I395" t="s">
        <v>723</v>
      </c>
      <c r="J395" s="14">
        <v>44652</v>
      </c>
      <c r="K395" t="s">
        <v>629</v>
      </c>
      <c r="L395" t="e">
        <f>VLOOKUP(H395,Sheet1!H:H,1,0)</f>
        <v>#N/A</v>
      </c>
    </row>
    <row r="396" spans="1:12">
      <c r="A396" t="s">
        <v>552</v>
      </c>
      <c r="B396" t="s">
        <v>286</v>
      </c>
      <c r="C396" t="s">
        <v>210</v>
      </c>
      <c r="D396" t="s">
        <v>287</v>
      </c>
      <c r="E396" t="s">
        <v>557</v>
      </c>
      <c r="F396" t="s">
        <v>558</v>
      </c>
      <c r="G396" t="s">
        <v>724</v>
      </c>
      <c r="H396">
        <v>4793401</v>
      </c>
      <c r="I396" t="s">
        <v>313</v>
      </c>
      <c r="J396" s="14">
        <v>45530</v>
      </c>
      <c r="K396" t="s">
        <v>561</v>
      </c>
      <c r="L396" t="e">
        <f>VLOOKUP(H396,Sheet1!H:H,1,0)</f>
        <v>#N/A</v>
      </c>
    </row>
    <row r="397" spans="1:12">
      <c r="A397" t="s">
        <v>552</v>
      </c>
      <c r="B397" t="s">
        <v>286</v>
      </c>
      <c r="C397" t="s">
        <v>210</v>
      </c>
      <c r="D397" t="s">
        <v>287</v>
      </c>
      <c r="E397" t="s">
        <v>609</v>
      </c>
      <c r="F397" t="s">
        <v>36</v>
      </c>
      <c r="G397" t="s">
        <v>725</v>
      </c>
      <c r="H397">
        <v>4827701</v>
      </c>
      <c r="I397" t="s">
        <v>308</v>
      </c>
      <c r="J397" s="14">
        <v>45566</v>
      </c>
      <c r="K397" t="s">
        <v>611</v>
      </c>
      <c r="L397" t="e">
        <f>VLOOKUP(H397,Sheet1!H:H,1,0)</f>
        <v>#N/A</v>
      </c>
    </row>
    <row r="398" spans="1:12">
      <c r="A398" t="s">
        <v>552</v>
      </c>
      <c r="B398" t="s">
        <v>209</v>
      </c>
      <c r="C398" t="s">
        <v>210</v>
      </c>
      <c r="D398" t="s">
        <v>211</v>
      </c>
      <c r="E398" t="s">
        <v>699</v>
      </c>
      <c r="F398" t="s">
        <v>700</v>
      </c>
      <c r="G398" t="s">
        <v>726</v>
      </c>
      <c r="H398">
        <v>3633201</v>
      </c>
      <c r="I398" t="s">
        <v>727</v>
      </c>
      <c r="J398" s="14">
        <v>43325</v>
      </c>
      <c r="L398" t="e">
        <f>VLOOKUP(H398,Sheet1!H:H,1,0)</f>
        <v>#N/A</v>
      </c>
    </row>
    <row r="399" spans="1:12">
      <c r="A399" t="s">
        <v>552</v>
      </c>
      <c r="B399" t="s">
        <v>209</v>
      </c>
      <c r="C399" t="s">
        <v>210</v>
      </c>
      <c r="D399" t="s">
        <v>211</v>
      </c>
      <c r="E399" t="s">
        <v>704</v>
      </c>
      <c r="F399" t="s">
        <v>34</v>
      </c>
      <c r="G399" t="s">
        <v>728</v>
      </c>
      <c r="H399">
        <v>4285201</v>
      </c>
      <c r="I399" t="s">
        <v>222</v>
      </c>
      <c r="J399" s="14">
        <v>45516</v>
      </c>
      <c r="K399" t="s">
        <v>706</v>
      </c>
      <c r="L399" t="e">
        <f>VLOOKUP(H399,Sheet1!H:H,1,0)</f>
        <v>#N/A</v>
      </c>
    </row>
    <row r="400" spans="1:12">
      <c r="A400" t="s">
        <v>552</v>
      </c>
      <c r="B400" t="s">
        <v>209</v>
      </c>
      <c r="C400" t="s">
        <v>210</v>
      </c>
      <c r="D400" t="s">
        <v>211</v>
      </c>
      <c r="E400" t="s">
        <v>699</v>
      </c>
      <c r="F400" t="s">
        <v>700</v>
      </c>
      <c r="G400" t="s">
        <v>729</v>
      </c>
      <c r="H400">
        <v>4321201</v>
      </c>
      <c r="I400" t="s">
        <v>220</v>
      </c>
      <c r="J400" s="14">
        <v>44774</v>
      </c>
      <c r="L400" t="e">
        <f>VLOOKUP(H400,Sheet1!H:H,1,0)</f>
        <v>#N/A</v>
      </c>
    </row>
    <row r="401" spans="1:12">
      <c r="A401" t="s">
        <v>552</v>
      </c>
      <c r="B401" t="s">
        <v>209</v>
      </c>
      <c r="C401" t="s">
        <v>210</v>
      </c>
      <c r="D401" t="s">
        <v>287</v>
      </c>
      <c r="E401" t="s">
        <v>633</v>
      </c>
      <c r="F401" t="s">
        <v>34</v>
      </c>
      <c r="G401" t="s">
        <v>730</v>
      </c>
      <c r="H401">
        <v>3633101</v>
      </c>
      <c r="I401" t="s">
        <v>731</v>
      </c>
      <c r="J401" s="14">
        <v>43313</v>
      </c>
      <c r="K401" t="s">
        <v>635</v>
      </c>
      <c r="L401" t="e">
        <f>VLOOKUP(H401,Sheet1!H:H,1,0)</f>
        <v>#N/A</v>
      </c>
    </row>
    <row r="402" spans="1:12">
      <c r="A402" t="s">
        <v>552</v>
      </c>
      <c r="B402" t="s">
        <v>209</v>
      </c>
      <c r="C402" t="s">
        <v>210</v>
      </c>
      <c r="D402" t="s">
        <v>211</v>
      </c>
      <c r="E402" t="s">
        <v>699</v>
      </c>
      <c r="F402" t="s">
        <v>700</v>
      </c>
      <c r="G402" t="s">
        <v>732</v>
      </c>
      <c r="H402">
        <v>4327401</v>
      </c>
      <c r="I402" t="s">
        <v>243</v>
      </c>
      <c r="J402" s="14">
        <v>44758</v>
      </c>
      <c r="L402" t="e">
        <f>VLOOKUP(H402,Sheet1!H:H,1,0)</f>
        <v>#N/A</v>
      </c>
    </row>
    <row r="403" spans="1:12">
      <c r="A403" t="s">
        <v>552</v>
      </c>
      <c r="B403" t="s">
        <v>209</v>
      </c>
      <c r="C403" t="s">
        <v>210</v>
      </c>
      <c r="D403" t="s">
        <v>211</v>
      </c>
      <c r="E403" t="s">
        <v>699</v>
      </c>
      <c r="F403" t="s">
        <v>700</v>
      </c>
      <c r="G403" t="s">
        <v>733</v>
      </c>
      <c r="H403">
        <v>5006101</v>
      </c>
      <c r="I403" t="s">
        <v>214</v>
      </c>
      <c r="J403" s="14">
        <v>45831</v>
      </c>
      <c r="L403" t="e">
        <f>VLOOKUP(H403,Sheet1!H:H,1,0)</f>
        <v>#N/A</v>
      </c>
    </row>
    <row r="404" spans="1:12">
      <c r="A404" t="s">
        <v>552</v>
      </c>
      <c r="B404" t="s">
        <v>209</v>
      </c>
      <c r="C404" t="s">
        <v>210</v>
      </c>
      <c r="D404" t="s">
        <v>211</v>
      </c>
      <c r="E404" t="s">
        <v>704</v>
      </c>
      <c r="F404" t="s">
        <v>34</v>
      </c>
      <c r="G404" t="s">
        <v>734</v>
      </c>
      <c r="H404">
        <v>2573001</v>
      </c>
      <c r="I404" t="s">
        <v>214</v>
      </c>
      <c r="J404" s="14">
        <v>41099</v>
      </c>
      <c r="K404" t="s">
        <v>706</v>
      </c>
      <c r="L404" t="e">
        <f>VLOOKUP(H404,Sheet1!H:H,1,0)</f>
        <v>#N/A</v>
      </c>
    </row>
    <row r="405" spans="1:12">
      <c r="A405" t="s">
        <v>552</v>
      </c>
      <c r="B405" t="s">
        <v>209</v>
      </c>
      <c r="C405" t="s">
        <v>210</v>
      </c>
      <c r="D405" t="s">
        <v>211</v>
      </c>
      <c r="E405" t="s">
        <v>699</v>
      </c>
      <c r="F405" t="s">
        <v>700</v>
      </c>
      <c r="G405" t="s">
        <v>735</v>
      </c>
      <c r="H405">
        <v>4640301</v>
      </c>
      <c r="I405" t="s">
        <v>214</v>
      </c>
      <c r="J405" s="14">
        <v>45593</v>
      </c>
      <c r="L405" t="e">
        <f>VLOOKUP(H405,Sheet1!H:H,1,0)</f>
        <v>#N/A</v>
      </c>
    </row>
    <row r="406" spans="1:12">
      <c r="A406" t="s">
        <v>552</v>
      </c>
      <c r="B406" t="s">
        <v>736</v>
      </c>
      <c r="C406" t="s">
        <v>737</v>
      </c>
      <c r="D406" t="s">
        <v>287</v>
      </c>
      <c r="E406" t="s">
        <v>557</v>
      </c>
      <c r="F406" t="s">
        <v>738</v>
      </c>
      <c r="G406" t="s">
        <v>739</v>
      </c>
      <c r="H406">
        <v>1863401</v>
      </c>
      <c r="I406" t="s">
        <v>740</v>
      </c>
      <c r="J406" s="14">
        <v>46082</v>
      </c>
      <c r="K406" t="s">
        <v>561</v>
      </c>
      <c r="L406" t="e">
        <f>VLOOKUP(H406,Sheet1!H:H,1,0)</f>
        <v>#N/A</v>
      </c>
    </row>
    <row r="407" spans="1:12">
      <c r="A407" t="s">
        <v>552</v>
      </c>
      <c r="B407" t="s">
        <v>736</v>
      </c>
      <c r="C407" t="s">
        <v>737</v>
      </c>
      <c r="D407" t="s">
        <v>287</v>
      </c>
      <c r="E407" t="s">
        <v>557</v>
      </c>
      <c r="F407" t="s">
        <v>738</v>
      </c>
      <c r="G407" t="s">
        <v>741</v>
      </c>
      <c r="H407">
        <v>2411201</v>
      </c>
      <c r="I407" t="s">
        <v>742</v>
      </c>
      <c r="J407" s="14">
        <v>42782</v>
      </c>
      <c r="K407" t="s">
        <v>561</v>
      </c>
      <c r="L407" t="e">
        <f>VLOOKUP(H407,Sheet1!H:H,1,0)</f>
        <v>#N/A</v>
      </c>
    </row>
    <row r="408" spans="1:12">
      <c r="A408" t="s">
        <v>552</v>
      </c>
      <c r="B408" t="s">
        <v>736</v>
      </c>
      <c r="C408" t="s">
        <v>737</v>
      </c>
      <c r="D408" t="s">
        <v>287</v>
      </c>
      <c r="E408" t="s">
        <v>570</v>
      </c>
      <c r="F408" t="s">
        <v>738</v>
      </c>
      <c r="G408" t="s">
        <v>743</v>
      </c>
      <c r="H408">
        <v>5202201</v>
      </c>
      <c r="I408" t="s">
        <v>744</v>
      </c>
      <c r="J408" s="14">
        <v>46069</v>
      </c>
      <c r="K408" t="s">
        <v>573</v>
      </c>
      <c r="L408" t="e">
        <f>VLOOKUP(H408,Sheet1!H:H,1,0)</f>
        <v>#N/A</v>
      </c>
    </row>
    <row r="409" spans="1:12">
      <c r="A409" t="s">
        <v>552</v>
      </c>
      <c r="B409" t="s">
        <v>736</v>
      </c>
      <c r="C409" t="s">
        <v>737</v>
      </c>
      <c r="D409" t="s">
        <v>287</v>
      </c>
      <c r="E409" t="s">
        <v>557</v>
      </c>
      <c r="F409" t="s">
        <v>738</v>
      </c>
      <c r="G409" t="s">
        <v>745</v>
      </c>
      <c r="H409">
        <v>4285101</v>
      </c>
      <c r="I409" t="s">
        <v>746</v>
      </c>
      <c r="J409" s="14">
        <v>46082</v>
      </c>
      <c r="K409" t="s">
        <v>561</v>
      </c>
      <c r="L409" t="e">
        <f>VLOOKUP(H409,Sheet1!H:H,1,0)</f>
        <v>#N/A</v>
      </c>
    </row>
    <row r="410" spans="1:12">
      <c r="A410" t="s">
        <v>552</v>
      </c>
      <c r="B410" t="s">
        <v>293</v>
      </c>
      <c r="C410" t="s">
        <v>210</v>
      </c>
      <c r="D410" t="s">
        <v>211</v>
      </c>
      <c r="E410" t="s">
        <v>747</v>
      </c>
      <c r="F410" t="s">
        <v>562</v>
      </c>
      <c r="G410" t="s">
        <v>748</v>
      </c>
      <c r="H410">
        <v>4956001</v>
      </c>
      <c r="I410" t="s">
        <v>220</v>
      </c>
      <c r="J410" s="14">
        <v>45705</v>
      </c>
      <c r="K410" t="s">
        <v>749</v>
      </c>
      <c r="L410" t="e">
        <f>VLOOKUP(H410,Sheet1!H:H,1,0)</f>
        <v>#N/A</v>
      </c>
    </row>
    <row r="411" spans="1:12">
      <c r="A411" t="s">
        <v>552</v>
      </c>
      <c r="B411" t="s">
        <v>293</v>
      </c>
      <c r="C411" t="s">
        <v>210</v>
      </c>
      <c r="D411" t="s">
        <v>287</v>
      </c>
      <c r="E411" t="s">
        <v>609</v>
      </c>
      <c r="F411" t="s">
        <v>562</v>
      </c>
      <c r="G411" t="s">
        <v>750</v>
      </c>
      <c r="H411">
        <v>4588101</v>
      </c>
      <c r="I411" t="s">
        <v>751</v>
      </c>
      <c r="J411" s="14">
        <v>45530</v>
      </c>
      <c r="K411" t="s">
        <v>611</v>
      </c>
      <c r="L411" t="e">
        <f>VLOOKUP(H411,Sheet1!H:H,1,0)</f>
        <v>#N/A</v>
      </c>
    </row>
    <row r="412" spans="1:12">
      <c r="A412" t="s">
        <v>552</v>
      </c>
      <c r="B412" t="s">
        <v>293</v>
      </c>
      <c r="C412" t="s">
        <v>210</v>
      </c>
      <c r="D412" t="s">
        <v>211</v>
      </c>
      <c r="E412" t="s">
        <v>747</v>
      </c>
      <c r="F412" t="s">
        <v>562</v>
      </c>
      <c r="G412" t="s">
        <v>752</v>
      </c>
      <c r="H412">
        <v>5008401</v>
      </c>
      <c r="I412" t="s">
        <v>214</v>
      </c>
      <c r="J412" s="14">
        <v>45894</v>
      </c>
      <c r="K412" t="s">
        <v>749</v>
      </c>
      <c r="L412" t="e">
        <f>VLOOKUP(H412,Sheet1!H:H,1,0)</f>
        <v>#N/A</v>
      </c>
    </row>
    <row r="413" spans="1:12">
      <c r="A413" t="s">
        <v>552</v>
      </c>
      <c r="B413" t="s">
        <v>293</v>
      </c>
      <c r="C413" t="s">
        <v>210</v>
      </c>
      <c r="D413" t="s">
        <v>211</v>
      </c>
      <c r="E413" t="s">
        <v>753</v>
      </c>
      <c r="F413" t="s">
        <v>43</v>
      </c>
      <c r="G413" t="s">
        <v>754</v>
      </c>
      <c r="H413">
        <v>5028801</v>
      </c>
      <c r="I413" t="s">
        <v>214</v>
      </c>
      <c r="J413" s="14">
        <v>45894</v>
      </c>
      <c r="K413" t="s">
        <v>755</v>
      </c>
      <c r="L413" t="e">
        <f>VLOOKUP(H413,Sheet1!H:H,1,0)</f>
        <v>#N/A</v>
      </c>
    </row>
    <row r="414" spans="1:12">
      <c r="A414" t="s">
        <v>552</v>
      </c>
      <c r="B414" t="s">
        <v>293</v>
      </c>
      <c r="C414" t="s">
        <v>210</v>
      </c>
      <c r="D414" t="s">
        <v>211</v>
      </c>
      <c r="E414" t="s">
        <v>753</v>
      </c>
      <c r="F414" t="s">
        <v>43</v>
      </c>
      <c r="G414" t="s">
        <v>756</v>
      </c>
      <c r="H414">
        <v>5028901</v>
      </c>
      <c r="I414" t="s">
        <v>214</v>
      </c>
      <c r="J414" s="14">
        <v>45894</v>
      </c>
      <c r="K414" t="s">
        <v>755</v>
      </c>
      <c r="L414" t="e">
        <f>VLOOKUP(H414,Sheet1!H:H,1,0)</f>
        <v>#N/A</v>
      </c>
    </row>
    <row r="415" spans="1:12">
      <c r="A415" t="s">
        <v>552</v>
      </c>
      <c r="B415" t="s">
        <v>293</v>
      </c>
      <c r="C415" t="s">
        <v>210</v>
      </c>
      <c r="D415" t="s">
        <v>211</v>
      </c>
      <c r="E415" t="s">
        <v>753</v>
      </c>
      <c r="F415" t="s">
        <v>43</v>
      </c>
      <c r="G415" t="s">
        <v>757</v>
      </c>
      <c r="H415">
        <v>5028401</v>
      </c>
      <c r="I415" t="s">
        <v>214</v>
      </c>
      <c r="J415" s="14">
        <v>45894</v>
      </c>
      <c r="K415" t="s">
        <v>755</v>
      </c>
      <c r="L415" t="e">
        <f>VLOOKUP(H415,Sheet1!H:H,1,0)</f>
        <v>#N/A</v>
      </c>
    </row>
    <row r="416" spans="1:12">
      <c r="A416" t="s">
        <v>552</v>
      </c>
      <c r="B416" t="s">
        <v>293</v>
      </c>
      <c r="C416" t="s">
        <v>210</v>
      </c>
      <c r="D416" t="s">
        <v>211</v>
      </c>
      <c r="E416" t="s">
        <v>753</v>
      </c>
      <c r="F416" t="s">
        <v>43</v>
      </c>
      <c r="G416" t="s">
        <v>758</v>
      </c>
      <c r="H416">
        <v>5029001</v>
      </c>
      <c r="I416" t="s">
        <v>214</v>
      </c>
      <c r="J416" s="14">
        <v>45894</v>
      </c>
      <c r="K416" t="s">
        <v>755</v>
      </c>
      <c r="L416" t="e">
        <f>VLOOKUP(H416,Sheet1!H:H,1,0)</f>
        <v>#N/A</v>
      </c>
    </row>
    <row r="417" spans="1:12">
      <c r="A417" t="s">
        <v>552</v>
      </c>
      <c r="B417" t="s">
        <v>293</v>
      </c>
      <c r="C417" t="s">
        <v>210</v>
      </c>
      <c r="D417" t="s">
        <v>211</v>
      </c>
      <c r="E417" t="s">
        <v>753</v>
      </c>
      <c r="F417" t="s">
        <v>43</v>
      </c>
      <c r="G417" t="s">
        <v>759</v>
      </c>
      <c r="H417">
        <v>4934201</v>
      </c>
      <c r="I417" t="s">
        <v>214</v>
      </c>
      <c r="J417" s="14">
        <v>45600</v>
      </c>
      <c r="K417" t="s">
        <v>755</v>
      </c>
      <c r="L417" t="e">
        <f>VLOOKUP(H417,Sheet1!H:H,1,0)</f>
        <v>#N/A</v>
      </c>
    </row>
    <row r="418" spans="1:12">
      <c r="A418" t="s">
        <v>552</v>
      </c>
      <c r="B418" t="s">
        <v>293</v>
      </c>
      <c r="C418" t="s">
        <v>210</v>
      </c>
      <c r="D418" t="s">
        <v>211</v>
      </c>
      <c r="E418" t="s">
        <v>753</v>
      </c>
      <c r="F418" t="s">
        <v>43</v>
      </c>
      <c r="G418" t="s">
        <v>760</v>
      </c>
      <c r="H418">
        <v>4793001</v>
      </c>
      <c r="I418" t="s">
        <v>761</v>
      </c>
      <c r="J418" s="14">
        <v>45530</v>
      </c>
      <c r="K418" t="s">
        <v>755</v>
      </c>
      <c r="L418" t="e">
        <f>VLOOKUP(H418,Sheet1!H:H,1,0)</f>
        <v>#N/A</v>
      </c>
    </row>
    <row r="419" spans="1:12">
      <c r="A419" t="s">
        <v>552</v>
      </c>
      <c r="B419" t="s">
        <v>293</v>
      </c>
      <c r="C419" t="s">
        <v>210</v>
      </c>
      <c r="D419" t="s">
        <v>211</v>
      </c>
      <c r="E419" t="s">
        <v>633</v>
      </c>
      <c r="F419" t="s">
        <v>562</v>
      </c>
      <c r="G419" t="s">
        <v>749</v>
      </c>
      <c r="H419">
        <v>2707901</v>
      </c>
      <c r="I419" t="s">
        <v>225</v>
      </c>
      <c r="J419" s="14">
        <v>42313</v>
      </c>
      <c r="K419" t="s">
        <v>635</v>
      </c>
      <c r="L419" t="e">
        <f>VLOOKUP(H419,Sheet1!H:H,1,0)</f>
        <v>#N/A</v>
      </c>
    </row>
    <row r="420" spans="1:12">
      <c r="A420" t="s">
        <v>552</v>
      </c>
      <c r="B420" t="s">
        <v>293</v>
      </c>
      <c r="C420" t="s">
        <v>210</v>
      </c>
      <c r="D420" t="s">
        <v>211</v>
      </c>
      <c r="E420" t="s">
        <v>747</v>
      </c>
      <c r="F420" t="s">
        <v>562</v>
      </c>
      <c r="G420" t="s">
        <v>762</v>
      </c>
      <c r="H420">
        <v>4802201</v>
      </c>
      <c r="I420" t="s">
        <v>243</v>
      </c>
      <c r="J420" s="14">
        <v>45537</v>
      </c>
      <c r="K420" t="s">
        <v>749</v>
      </c>
      <c r="L420" t="e">
        <f>VLOOKUP(H420,Sheet1!H:H,1,0)</f>
        <v>#N/A</v>
      </c>
    </row>
    <row r="421" spans="1:12">
      <c r="A421" t="s">
        <v>552</v>
      </c>
      <c r="B421" t="s">
        <v>293</v>
      </c>
      <c r="C421" t="s">
        <v>210</v>
      </c>
      <c r="D421" t="s">
        <v>211</v>
      </c>
      <c r="E421" t="s">
        <v>753</v>
      </c>
      <c r="F421" t="s">
        <v>43</v>
      </c>
      <c r="G421" t="s">
        <v>763</v>
      </c>
      <c r="H421">
        <v>5064201</v>
      </c>
      <c r="I421" t="s">
        <v>220</v>
      </c>
      <c r="J421" s="14">
        <v>45943</v>
      </c>
      <c r="K421" t="s">
        <v>755</v>
      </c>
      <c r="L421" t="e">
        <f>VLOOKUP(H421,Sheet1!H:H,1,0)</f>
        <v>#N/A</v>
      </c>
    </row>
    <row r="422" spans="1:12">
      <c r="A422" t="s">
        <v>552</v>
      </c>
      <c r="B422" t="s">
        <v>293</v>
      </c>
      <c r="C422" t="s">
        <v>210</v>
      </c>
      <c r="D422" t="s">
        <v>211</v>
      </c>
      <c r="E422" t="s">
        <v>747</v>
      </c>
      <c r="F422" t="s">
        <v>562</v>
      </c>
      <c r="G422" t="s">
        <v>764</v>
      </c>
      <c r="H422">
        <v>4785101</v>
      </c>
      <c r="I422" t="s">
        <v>220</v>
      </c>
      <c r="J422" s="14">
        <v>46097</v>
      </c>
      <c r="K422" t="s">
        <v>749</v>
      </c>
      <c r="L422" t="e">
        <f>VLOOKUP(H422,Sheet1!H:H,1,0)</f>
        <v>#N/A</v>
      </c>
    </row>
    <row r="423" spans="1:12">
      <c r="A423" t="s">
        <v>552</v>
      </c>
      <c r="B423" t="s">
        <v>293</v>
      </c>
      <c r="C423" t="s">
        <v>210</v>
      </c>
      <c r="D423" t="s">
        <v>211</v>
      </c>
      <c r="E423" t="s">
        <v>753</v>
      </c>
      <c r="F423" t="s">
        <v>43</v>
      </c>
      <c r="G423" t="s">
        <v>765</v>
      </c>
      <c r="H423">
        <v>4666601</v>
      </c>
      <c r="I423" t="s">
        <v>220</v>
      </c>
      <c r="J423" s="14">
        <v>45894</v>
      </c>
      <c r="K423" t="s">
        <v>755</v>
      </c>
      <c r="L423" t="e">
        <f>VLOOKUP(H423,Sheet1!H:H,1,0)</f>
        <v>#N/A</v>
      </c>
    </row>
    <row r="424" spans="1:12">
      <c r="A424" t="s">
        <v>552</v>
      </c>
      <c r="B424" t="s">
        <v>293</v>
      </c>
      <c r="C424" t="s">
        <v>210</v>
      </c>
      <c r="D424" t="s">
        <v>211</v>
      </c>
      <c r="E424" t="s">
        <v>753</v>
      </c>
      <c r="F424" t="s">
        <v>43</v>
      </c>
      <c r="G424" t="s">
        <v>766</v>
      </c>
      <c r="H424">
        <v>4611901</v>
      </c>
      <c r="I424" t="s">
        <v>214</v>
      </c>
      <c r="J424" s="14">
        <v>45362</v>
      </c>
      <c r="K424" t="s">
        <v>755</v>
      </c>
      <c r="L424" t="e">
        <f>VLOOKUP(H424,Sheet1!H:H,1,0)</f>
        <v>#N/A</v>
      </c>
    </row>
    <row r="425" spans="1:12">
      <c r="A425" t="s">
        <v>552</v>
      </c>
      <c r="B425" t="s">
        <v>565</v>
      </c>
      <c r="C425" t="s">
        <v>210</v>
      </c>
      <c r="D425" t="s">
        <v>287</v>
      </c>
      <c r="E425" t="s">
        <v>767</v>
      </c>
      <c r="F425" t="s">
        <v>768</v>
      </c>
      <c r="G425" t="s">
        <v>561</v>
      </c>
      <c r="H425">
        <v>2165101</v>
      </c>
      <c r="I425" t="s">
        <v>769</v>
      </c>
      <c r="J425" s="14">
        <v>40120</v>
      </c>
      <c r="L425" t="e">
        <f>VLOOKUP(H425,Sheet1!H:H,1,0)</f>
        <v>#N/A</v>
      </c>
    </row>
    <row r="426" spans="1:12">
      <c r="A426" t="s">
        <v>552</v>
      </c>
      <c r="B426" t="s">
        <v>293</v>
      </c>
      <c r="C426" t="s">
        <v>210</v>
      </c>
      <c r="D426" t="s">
        <v>211</v>
      </c>
      <c r="E426" t="s">
        <v>753</v>
      </c>
      <c r="F426" t="s">
        <v>43</v>
      </c>
      <c r="G426" t="s">
        <v>770</v>
      </c>
      <c r="H426">
        <v>4765001</v>
      </c>
      <c r="I426" t="s">
        <v>214</v>
      </c>
      <c r="J426" s="14">
        <v>45558</v>
      </c>
      <c r="K426" t="s">
        <v>755</v>
      </c>
      <c r="L426" t="e">
        <f>VLOOKUP(H426,Sheet1!H:H,1,0)</f>
        <v>#N/A</v>
      </c>
    </row>
    <row r="427" spans="1:12">
      <c r="A427" t="s">
        <v>552</v>
      </c>
      <c r="B427" t="s">
        <v>293</v>
      </c>
      <c r="C427" t="s">
        <v>210</v>
      </c>
      <c r="D427" t="s">
        <v>287</v>
      </c>
      <c r="E427" t="s">
        <v>557</v>
      </c>
      <c r="F427" t="s">
        <v>562</v>
      </c>
      <c r="G427" t="s">
        <v>629</v>
      </c>
      <c r="H427">
        <v>2748201</v>
      </c>
      <c r="I427" t="s">
        <v>771</v>
      </c>
      <c r="J427" s="14">
        <v>43678</v>
      </c>
      <c r="K427" t="s">
        <v>561</v>
      </c>
      <c r="L427" t="e">
        <f>VLOOKUP(H427,Sheet1!H:H,1,0)</f>
        <v>#N/A</v>
      </c>
    </row>
    <row r="428" spans="1:12">
      <c r="A428" t="s">
        <v>552</v>
      </c>
      <c r="B428" t="s">
        <v>286</v>
      </c>
      <c r="C428" t="s">
        <v>210</v>
      </c>
      <c r="D428" t="s">
        <v>287</v>
      </c>
      <c r="E428" t="s">
        <v>557</v>
      </c>
      <c r="F428" t="s">
        <v>558</v>
      </c>
      <c r="G428" t="s">
        <v>624</v>
      </c>
      <c r="H428">
        <v>2710101</v>
      </c>
      <c r="I428" t="s">
        <v>772</v>
      </c>
      <c r="J428" s="14">
        <v>43252</v>
      </c>
      <c r="K428" t="s">
        <v>561</v>
      </c>
      <c r="L428" t="e">
        <f>VLOOKUP(H428,Sheet1!H:H,1,0)</f>
        <v>#N/A</v>
      </c>
    </row>
    <row r="429" spans="1:12">
      <c r="A429" t="s">
        <v>552</v>
      </c>
      <c r="B429" t="s">
        <v>293</v>
      </c>
      <c r="C429" t="s">
        <v>210</v>
      </c>
      <c r="D429" t="s">
        <v>211</v>
      </c>
      <c r="E429" t="s">
        <v>747</v>
      </c>
      <c r="F429" t="s">
        <v>562</v>
      </c>
      <c r="G429" t="s">
        <v>773</v>
      </c>
      <c r="H429">
        <v>4967201</v>
      </c>
      <c r="I429" t="s">
        <v>214</v>
      </c>
      <c r="J429" s="14">
        <v>45831</v>
      </c>
      <c r="K429" t="s">
        <v>749</v>
      </c>
      <c r="L429" t="e">
        <f>VLOOKUP(H429,Sheet1!H:H,1,0)</f>
        <v>#N/A</v>
      </c>
    </row>
    <row r="430" spans="1:12">
      <c r="A430" t="s">
        <v>552</v>
      </c>
      <c r="B430" t="s">
        <v>293</v>
      </c>
      <c r="C430" t="s">
        <v>210</v>
      </c>
      <c r="D430" t="s">
        <v>211</v>
      </c>
      <c r="E430" t="s">
        <v>633</v>
      </c>
      <c r="F430" t="s">
        <v>562</v>
      </c>
      <c r="G430" t="s">
        <v>774</v>
      </c>
      <c r="H430">
        <v>3163701</v>
      </c>
      <c r="I430" t="s">
        <v>225</v>
      </c>
      <c r="J430" s="14">
        <v>42387</v>
      </c>
      <c r="K430" t="s">
        <v>635</v>
      </c>
      <c r="L430" t="e">
        <f>VLOOKUP(H430,Sheet1!H:H,1,0)</f>
        <v>#N/A</v>
      </c>
    </row>
    <row r="431" spans="1:12">
      <c r="A431" t="s">
        <v>552</v>
      </c>
      <c r="B431" t="s">
        <v>293</v>
      </c>
      <c r="C431" t="s">
        <v>210</v>
      </c>
      <c r="D431" t="s">
        <v>211</v>
      </c>
      <c r="E431" t="s">
        <v>753</v>
      </c>
      <c r="F431" t="s">
        <v>43</v>
      </c>
      <c r="G431" t="s">
        <v>775</v>
      </c>
      <c r="H431">
        <v>4919801</v>
      </c>
      <c r="I431" t="s">
        <v>214</v>
      </c>
      <c r="J431" s="14">
        <v>45593</v>
      </c>
      <c r="K431" t="s">
        <v>755</v>
      </c>
      <c r="L431" t="e">
        <f>VLOOKUP(H431,Sheet1!H:H,1,0)</f>
        <v>#N/A</v>
      </c>
    </row>
    <row r="432" spans="1:12">
      <c r="A432" t="s">
        <v>552</v>
      </c>
      <c r="B432" t="s">
        <v>286</v>
      </c>
      <c r="C432" t="s">
        <v>210</v>
      </c>
      <c r="D432" t="s">
        <v>287</v>
      </c>
      <c r="E432" t="s">
        <v>621</v>
      </c>
      <c r="F432" t="s">
        <v>558</v>
      </c>
      <c r="G432" t="s">
        <v>776</v>
      </c>
      <c r="H432">
        <v>3430701</v>
      </c>
      <c r="I432" t="s">
        <v>510</v>
      </c>
      <c r="J432" s="14">
        <v>42902</v>
      </c>
      <c r="K432" t="s">
        <v>624</v>
      </c>
      <c r="L432" t="e">
        <f>VLOOKUP(H432,Sheet1!H:H,1,0)</f>
        <v>#N/A</v>
      </c>
    </row>
    <row r="433" spans="1:12">
      <c r="A433" t="s">
        <v>552</v>
      </c>
      <c r="B433" t="s">
        <v>293</v>
      </c>
      <c r="C433" t="s">
        <v>210</v>
      </c>
      <c r="D433" t="s">
        <v>211</v>
      </c>
      <c r="E433" t="s">
        <v>747</v>
      </c>
      <c r="F433" t="s">
        <v>562</v>
      </c>
      <c r="G433" t="s">
        <v>777</v>
      </c>
      <c r="H433">
        <v>4528101</v>
      </c>
      <c r="I433" t="s">
        <v>214</v>
      </c>
      <c r="J433" s="14">
        <v>45096</v>
      </c>
      <c r="K433" t="s">
        <v>749</v>
      </c>
      <c r="L433" t="e">
        <f>VLOOKUP(H433,Sheet1!H:H,1,0)</f>
        <v>#N/A</v>
      </c>
    </row>
    <row r="434" spans="1:12">
      <c r="A434" t="s">
        <v>552</v>
      </c>
      <c r="B434" t="s">
        <v>286</v>
      </c>
      <c r="C434" t="s">
        <v>210</v>
      </c>
      <c r="D434" t="s">
        <v>287</v>
      </c>
      <c r="E434" t="s">
        <v>626</v>
      </c>
      <c r="F434" t="s">
        <v>558</v>
      </c>
      <c r="G434" t="s">
        <v>778</v>
      </c>
      <c r="H434">
        <v>4806001</v>
      </c>
      <c r="I434" t="s">
        <v>628</v>
      </c>
      <c r="J434" s="14">
        <v>45552</v>
      </c>
      <c r="K434" t="s">
        <v>629</v>
      </c>
      <c r="L434" t="e">
        <f>VLOOKUP(H434,Sheet1!H:H,1,0)</f>
        <v>#N/A</v>
      </c>
    </row>
    <row r="435" spans="1:12">
      <c r="A435" t="s">
        <v>552</v>
      </c>
      <c r="B435" t="s">
        <v>293</v>
      </c>
      <c r="C435" t="s">
        <v>210</v>
      </c>
      <c r="D435" t="s">
        <v>211</v>
      </c>
      <c r="E435" t="s">
        <v>747</v>
      </c>
      <c r="F435" t="s">
        <v>562</v>
      </c>
      <c r="G435" t="s">
        <v>779</v>
      </c>
      <c r="H435">
        <v>4914101</v>
      </c>
      <c r="I435" t="s">
        <v>214</v>
      </c>
      <c r="J435" s="14">
        <v>45593</v>
      </c>
      <c r="K435" t="s">
        <v>749</v>
      </c>
      <c r="L435" t="e">
        <f>VLOOKUP(H435,Sheet1!H:H,1,0)</f>
        <v>#N/A</v>
      </c>
    </row>
    <row r="436" spans="1:12">
      <c r="A436" t="s">
        <v>552</v>
      </c>
      <c r="B436" t="s">
        <v>293</v>
      </c>
      <c r="C436" t="s">
        <v>210</v>
      </c>
      <c r="D436" t="s">
        <v>211</v>
      </c>
      <c r="E436" t="s">
        <v>747</v>
      </c>
      <c r="F436" t="s">
        <v>562</v>
      </c>
      <c r="G436" t="s">
        <v>780</v>
      </c>
      <c r="H436">
        <v>4900101</v>
      </c>
      <c r="I436" t="s">
        <v>214</v>
      </c>
      <c r="J436" s="14">
        <v>45719</v>
      </c>
      <c r="K436" t="s">
        <v>749</v>
      </c>
      <c r="L436" t="e">
        <f>VLOOKUP(H436,Sheet1!H:H,1,0)</f>
        <v>#N/A</v>
      </c>
    </row>
    <row r="437" spans="1:12">
      <c r="A437" t="s">
        <v>552</v>
      </c>
      <c r="B437" t="s">
        <v>293</v>
      </c>
      <c r="C437" t="s">
        <v>210</v>
      </c>
      <c r="D437" t="s">
        <v>211</v>
      </c>
      <c r="E437" t="s">
        <v>633</v>
      </c>
      <c r="F437" t="s">
        <v>43</v>
      </c>
      <c r="G437" t="s">
        <v>755</v>
      </c>
      <c r="H437">
        <v>3501901</v>
      </c>
      <c r="I437" t="s">
        <v>225</v>
      </c>
      <c r="J437" s="14">
        <v>43031</v>
      </c>
      <c r="K437" t="s">
        <v>635</v>
      </c>
      <c r="L437" t="e">
        <f>VLOOKUP(H437,Sheet1!H:H,1,0)</f>
        <v>#N/A</v>
      </c>
    </row>
    <row r="438" spans="1:12">
      <c r="A438" t="s">
        <v>552</v>
      </c>
      <c r="B438" t="s">
        <v>565</v>
      </c>
      <c r="C438" t="s">
        <v>210</v>
      </c>
      <c r="D438" t="s">
        <v>287</v>
      </c>
      <c r="E438" t="s">
        <v>557</v>
      </c>
      <c r="F438" t="s">
        <v>768</v>
      </c>
      <c r="G438" t="s">
        <v>781</v>
      </c>
      <c r="H438">
        <v>2012101</v>
      </c>
      <c r="I438" t="s">
        <v>782</v>
      </c>
      <c r="J438" s="14">
        <v>45704</v>
      </c>
      <c r="K438" t="s">
        <v>561</v>
      </c>
      <c r="L438" t="e">
        <f>VLOOKUP(H438,Sheet1!H:H,1,0)</f>
        <v>#N/A</v>
      </c>
    </row>
    <row r="439" spans="1:12">
      <c r="A439" t="s">
        <v>552</v>
      </c>
      <c r="B439" t="s">
        <v>286</v>
      </c>
      <c r="C439" t="s">
        <v>210</v>
      </c>
      <c r="D439" t="s">
        <v>287</v>
      </c>
      <c r="E439" t="s">
        <v>609</v>
      </c>
      <c r="F439" t="s">
        <v>558</v>
      </c>
      <c r="G439" t="s">
        <v>783</v>
      </c>
      <c r="H439">
        <v>4288901</v>
      </c>
      <c r="I439" t="s">
        <v>323</v>
      </c>
      <c r="J439" s="14">
        <v>44601</v>
      </c>
      <c r="K439" t="s">
        <v>611</v>
      </c>
      <c r="L439" t="e">
        <f>VLOOKUP(H439,Sheet1!H:H,1,0)</f>
        <v>#N/A</v>
      </c>
    </row>
    <row r="440" spans="1:12">
      <c r="A440" t="s">
        <v>552</v>
      </c>
      <c r="B440" t="s">
        <v>565</v>
      </c>
      <c r="C440" t="s">
        <v>210</v>
      </c>
      <c r="D440" t="s">
        <v>287</v>
      </c>
      <c r="E440" t="s">
        <v>557</v>
      </c>
      <c r="F440" t="s">
        <v>587</v>
      </c>
      <c r="G440" t="s">
        <v>784</v>
      </c>
      <c r="H440">
        <v>3027601</v>
      </c>
      <c r="I440" t="s">
        <v>785</v>
      </c>
      <c r="J440" s="14">
        <v>42059</v>
      </c>
      <c r="K440" t="s">
        <v>561</v>
      </c>
      <c r="L440" t="e">
        <f>VLOOKUP(H440,Sheet1!H:H,1,0)</f>
        <v>#N/A</v>
      </c>
    </row>
    <row r="441" spans="1:12">
      <c r="A441" t="s">
        <v>552</v>
      </c>
      <c r="B441" t="s">
        <v>293</v>
      </c>
      <c r="C441" t="s">
        <v>210</v>
      </c>
      <c r="D441" t="s">
        <v>211</v>
      </c>
      <c r="E441" t="s">
        <v>753</v>
      </c>
      <c r="F441" t="s">
        <v>43</v>
      </c>
      <c r="G441" t="s">
        <v>786</v>
      </c>
      <c r="H441">
        <v>4327801</v>
      </c>
      <c r="I441" t="s">
        <v>243</v>
      </c>
      <c r="J441" s="14">
        <v>44774</v>
      </c>
      <c r="K441" t="s">
        <v>755</v>
      </c>
      <c r="L441" t="e">
        <f>VLOOKUP(H441,Sheet1!H:H,1,0)</f>
        <v>#N/A</v>
      </c>
    </row>
    <row r="442" spans="1:12">
      <c r="A442" t="s">
        <v>552</v>
      </c>
      <c r="B442" t="s">
        <v>293</v>
      </c>
      <c r="C442" t="s">
        <v>210</v>
      </c>
      <c r="D442" t="s">
        <v>287</v>
      </c>
      <c r="E442" t="s">
        <v>609</v>
      </c>
      <c r="F442" t="s">
        <v>562</v>
      </c>
      <c r="G442" t="s">
        <v>787</v>
      </c>
      <c r="H442">
        <v>1622301</v>
      </c>
      <c r="I442" t="s">
        <v>673</v>
      </c>
      <c r="J442" s="14">
        <v>44111</v>
      </c>
      <c r="K442" t="s">
        <v>611</v>
      </c>
      <c r="L442" t="e">
        <f>VLOOKUP(H442,Sheet1!H:H,1,0)</f>
        <v>#N/A</v>
      </c>
    </row>
    <row r="443" spans="1:12">
      <c r="A443" t="s">
        <v>552</v>
      </c>
      <c r="B443" t="s">
        <v>565</v>
      </c>
      <c r="C443" t="s">
        <v>210</v>
      </c>
      <c r="D443" t="s">
        <v>287</v>
      </c>
      <c r="E443" t="s">
        <v>586</v>
      </c>
      <c r="F443" t="s">
        <v>587</v>
      </c>
      <c r="G443" t="s">
        <v>788</v>
      </c>
      <c r="H443">
        <v>3615601</v>
      </c>
      <c r="I443" t="s">
        <v>589</v>
      </c>
      <c r="J443" s="14">
        <v>43444</v>
      </c>
      <c r="K443" t="s">
        <v>559</v>
      </c>
      <c r="L443" t="e">
        <f>VLOOKUP(H443,Sheet1!H:H,1,0)</f>
        <v>#N/A</v>
      </c>
    </row>
    <row r="444" spans="1:12">
      <c r="A444" t="s">
        <v>552</v>
      </c>
      <c r="B444" t="s">
        <v>209</v>
      </c>
      <c r="C444" t="s">
        <v>210</v>
      </c>
      <c r="D444" t="s">
        <v>287</v>
      </c>
      <c r="E444" t="s">
        <v>621</v>
      </c>
      <c r="F444" t="s">
        <v>36</v>
      </c>
      <c r="G444" t="s">
        <v>789</v>
      </c>
      <c r="H444">
        <v>3778101</v>
      </c>
      <c r="I444" t="s">
        <v>790</v>
      </c>
      <c r="J444" s="14">
        <v>46082</v>
      </c>
      <c r="K444" t="s">
        <v>624</v>
      </c>
      <c r="L444" t="e">
        <f>VLOOKUP(H444,Sheet1!H:H,1,0)</f>
        <v>#N/A</v>
      </c>
    </row>
    <row r="445" spans="1:12">
      <c r="A445" t="s">
        <v>552</v>
      </c>
      <c r="B445" t="s">
        <v>209</v>
      </c>
      <c r="C445" t="s">
        <v>210</v>
      </c>
      <c r="D445" t="s">
        <v>287</v>
      </c>
      <c r="E445" t="s">
        <v>557</v>
      </c>
      <c r="F445" t="s">
        <v>34</v>
      </c>
      <c r="G445" t="s">
        <v>611</v>
      </c>
      <c r="H445">
        <v>2924201</v>
      </c>
      <c r="I445" t="s">
        <v>791</v>
      </c>
      <c r="J445" s="14">
        <v>43252</v>
      </c>
      <c r="K445" t="s">
        <v>561</v>
      </c>
      <c r="L445" t="e">
        <f>VLOOKUP(H445,Sheet1!H:H,1,0)</f>
        <v>#N/A</v>
      </c>
    </row>
    <row r="446" spans="1:12">
      <c r="A446" t="s">
        <v>552</v>
      </c>
      <c r="B446" t="s">
        <v>293</v>
      </c>
      <c r="C446" t="s">
        <v>210</v>
      </c>
      <c r="D446" t="s">
        <v>211</v>
      </c>
      <c r="E446" t="s">
        <v>747</v>
      </c>
      <c r="F446" t="s">
        <v>562</v>
      </c>
      <c r="G446" t="s">
        <v>792</v>
      </c>
      <c r="H446">
        <v>5164501</v>
      </c>
      <c r="I446" t="s">
        <v>214</v>
      </c>
      <c r="J446" s="14">
        <v>45985</v>
      </c>
      <c r="K446" t="s">
        <v>749</v>
      </c>
      <c r="L446" t="e">
        <f>VLOOKUP(H446,Sheet1!H:H,1,0)</f>
        <v>#N/A</v>
      </c>
    </row>
    <row r="447" spans="1:12">
      <c r="A447" t="s">
        <v>793</v>
      </c>
      <c r="B447" t="s">
        <v>327</v>
      </c>
      <c r="C447" t="s">
        <v>210</v>
      </c>
      <c r="D447" t="s">
        <v>211</v>
      </c>
      <c r="E447" t="s">
        <v>794</v>
      </c>
      <c r="F447" t="s">
        <v>795</v>
      </c>
      <c r="G447" t="s">
        <v>796</v>
      </c>
      <c r="H447">
        <v>1528106</v>
      </c>
      <c r="I447" t="s">
        <v>225</v>
      </c>
      <c r="J447" s="14">
        <v>40040</v>
      </c>
      <c r="K447" t="s">
        <v>797</v>
      </c>
      <c r="L447" t="e">
        <f>VLOOKUP(H447,Sheet1!H:H,1,0)</f>
        <v>#N/A</v>
      </c>
    </row>
    <row r="448" spans="1:12">
      <c r="A448" t="s">
        <v>793</v>
      </c>
      <c r="B448" t="s">
        <v>327</v>
      </c>
      <c r="C448" t="s">
        <v>210</v>
      </c>
      <c r="D448" t="s">
        <v>211</v>
      </c>
      <c r="E448" t="s">
        <v>798</v>
      </c>
      <c r="F448" t="s">
        <v>795</v>
      </c>
      <c r="G448" t="s">
        <v>799</v>
      </c>
      <c r="H448">
        <v>1930706</v>
      </c>
      <c r="I448" t="s">
        <v>222</v>
      </c>
      <c r="J448" s="14">
        <v>41954</v>
      </c>
      <c r="K448" t="s">
        <v>796</v>
      </c>
      <c r="L448" t="e">
        <f>VLOOKUP(H448,Sheet1!H:H,1,0)</f>
        <v>#N/A</v>
      </c>
    </row>
    <row r="449" spans="1:12">
      <c r="A449" t="s">
        <v>793</v>
      </c>
      <c r="B449" t="s">
        <v>327</v>
      </c>
      <c r="C449" t="s">
        <v>210</v>
      </c>
      <c r="D449" t="s">
        <v>211</v>
      </c>
      <c r="E449" t="s">
        <v>798</v>
      </c>
      <c r="F449" t="s">
        <v>795</v>
      </c>
      <c r="G449" t="s">
        <v>800</v>
      </c>
      <c r="H449">
        <v>2919106</v>
      </c>
      <c r="I449" t="s">
        <v>214</v>
      </c>
      <c r="J449" s="14">
        <v>45082</v>
      </c>
      <c r="K449" t="s">
        <v>796</v>
      </c>
      <c r="L449" t="e">
        <f>VLOOKUP(H449,Sheet1!H:H,1,0)</f>
        <v>#N/A</v>
      </c>
    </row>
    <row r="450" spans="1:12">
      <c r="A450" t="s">
        <v>793</v>
      </c>
      <c r="B450" t="s">
        <v>327</v>
      </c>
      <c r="C450" t="s">
        <v>210</v>
      </c>
      <c r="D450" t="s">
        <v>211</v>
      </c>
      <c r="E450" t="s">
        <v>798</v>
      </c>
      <c r="F450" t="s">
        <v>795</v>
      </c>
      <c r="G450" t="s">
        <v>801</v>
      </c>
      <c r="H450">
        <v>2982406</v>
      </c>
      <c r="I450" t="s">
        <v>333</v>
      </c>
      <c r="J450" s="14">
        <v>45261</v>
      </c>
      <c r="K450" t="s">
        <v>796</v>
      </c>
      <c r="L450" t="e">
        <f>VLOOKUP(H450,Sheet1!H:H,1,0)</f>
        <v>#N/A</v>
      </c>
    </row>
    <row r="451" spans="1:12">
      <c r="A451" t="s">
        <v>793</v>
      </c>
      <c r="B451" t="s">
        <v>327</v>
      </c>
      <c r="C451" t="s">
        <v>210</v>
      </c>
      <c r="D451" t="s">
        <v>211</v>
      </c>
      <c r="E451" t="s">
        <v>798</v>
      </c>
      <c r="F451" t="s">
        <v>795</v>
      </c>
      <c r="G451" t="s">
        <v>802</v>
      </c>
      <c r="H451">
        <v>2988406</v>
      </c>
      <c r="I451" t="s">
        <v>214</v>
      </c>
      <c r="J451" s="14">
        <v>45323</v>
      </c>
      <c r="K451" t="s">
        <v>796</v>
      </c>
      <c r="L451" t="e">
        <f>VLOOKUP(H451,Sheet1!H:H,1,0)</f>
        <v>#N/A</v>
      </c>
    </row>
    <row r="452" spans="1:12">
      <c r="A452" t="s">
        <v>793</v>
      </c>
      <c r="B452" t="s">
        <v>327</v>
      </c>
      <c r="C452" t="s">
        <v>210</v>
      </c>
      <c r="D452" t="s">
        <v>211</v>
      </c>
      <c r="E452" t="s">
        <v>798</v>
      </c>
      <c r="F452" t="s">
        <v>795</v>
      </c>
      <c r="G452" t="s">
        <v>803</v>
      </c>
      <c r="H452">
        <v>3067106</v>
      </c>
      <c r="I452" t="s">
        <v>214</v>
      </c>
      <c r="J452" s="14">
        <v>45602</v>
      </c>
      <c r="K452" t="s">
        <v>796</v>
      </c>
      <c r="L452" t="e">
        <f>VLOOKUP(H452,Sheet1!H:H,1,0)</f>
        <v>#N/A</v>
      </c>
    </row>
    <row r="453" spans="1:12">
      <c r="A453" t="s">
        <v>793</v>
      </c>
      <c r="B453" t="s">
        <v>327</v>
      </c>
      <c r="C453" t="s">
        <v>210</v>
      </c>
      <c r="D453" t="s">
        <v>211</v>
      </c>
      <c r="E453" t="s">
        <v>798</v>
      </c>
      <c r="F453" t="s">
        <v>795</v>
      </c>
      <c r="G453" t="s">
        <v>804</v>
      </c>
      <c r="H453">
        <v>3081106</v>
      </c>
      <c r="I453" t="s">
        <v>220</v>
      </c>
      <c r="J453" s="14">
        <v>45614</v>
      </c>
      <c r="K453" t="s">
        <v>796</v>
      </c>
      <c r="L453" t="e">
        <f>VLOOKUP(H453,Sheet1!H:H,1,0)</f>
        <v>#N/A</v>
      </c>
    </row>
    <row r="454" spans="1:12">
      <c r="A454" t="s">
        <v>793</v>
      </c>
      <c r="B454" t="s">
        <v>327</v>
      </c>
      <c r="C454" t="s">
        <v>210</v>
      </c>
      <c r="D454" t="s">
        <v>211</v>
      </c>
      <c r="E454" t="s">
        <v>798</v>
      </c>
      <c r="F454" t="s">
        <v>795</v>
      </c>
      <c r="G454" t="s">
        <v>805</v>
      </c>
      <c r="H454">
        <v>3221206</v>
      </c>
      <c r="I454" t="s">
        <v>214</v>
      </c>
      <c r="J454" s="14">
        <v>46038</v>
      </c>
      <c r="K454" t="s">
        <v>796</v>
      </c>
      <c r="L454" t="e">
        <f>VLOOKUP(H454,Sheet1!H:H,1,0)</f>
        <v>#N/A</v>
      </c>
    </row>
    <row r="455" spans="1:12">
      <c r="A455" t="s">
        <v>793</v>
      </c>
      <c r="B455" t="s">
        <v>327</v>
      </c>
      <c r="C455" t="s">
        <v>210</v>
      </c>
      <c r="D455" t="s">
        <v>211</v>
      </c>
      <c r="E455" t="s">
        <v>798</v>
      </c>
      <c r="F455" t="s">
        <v>795</v>
      </c>
      <c r="G455" t="s">
        <v>806</v>
      </c>
      <c r="H455">
        <v>3222306</v>
      </c>
      <c r="I455" t="s">
        <v>214</v>
      </c>
      <c r="J455" s="14">
        <v>46038</v>
      </c>
      <c r="K455" t="s">
        <v>796</v>
      </c>
      <c r="L455" t="e">
        <f>VLOOKUP(H455,Sheet1!H:H,1,0)</f>
        <v>#N/A</v>
      </c>
    </row>
    <row r="456" spans="1:12">
      <c r="A456" t="s">
        <v>793</v>
      </c>
      <c r="B456" t="s">
        <v>327</v>
      </c>
      <c r="C456" t="s">
        <v>210</v>
      </c>
      <c r="D456" t="s">
        <v>211</v>
      </c>
      <c r="E456" t="s">
        <v>798</v>
      </c>
      <c r="F456" t="s">
        <v>795</v>
      </c>
      <c r="G456" t="s">
        <v>807</v>
      </c>
      <c r="H456">
        <v>3228606</v>
      </c>
      <c r="I456" t="s">
        <v>214</v>
      </c>
      <c r="J456" s="14">
        <v>46055</v>
      </c>
      <c r="K456" t="s">
        <v>796</v>
      </c>
      <c r="L456" t="e">
        <f>VLOOKUP(H456,Sheet1!H:H,1,0)</f>
        <v>#N/A</v>
      </c>
    </row>
    <row r="457" spans="1:12">
      <c r="A457" t="s">
        <v>793</v>
      </c>
      <c r="B457" t="s">
        <v>327</v>
      </c>
      <c r="C457" t="s">
        <v>210</v>
      </c>
      <c r="D457" t="s">
        <v>211</v>
      </c>
      <c r="E457" t="s">
        <v>798</v>
      </c>
      <c r="F457" t="s">
        <v>795</v>
      </c>
      <c r="G457" t="s">
        <v>808</v>
      </c>
      <c r="H457">
        <v>3228706</v>
      </c>
      <c r="I457" t="s">
        <v>214</v>
      </c>
      <c r="J457" s="14">
        <v>46055</v>
      </c>
      <c r="K457" t="s">
        <v>796</v>
      </c>
      <c r="L457" t="e">
        <f>VLOOKUP(H457,Sheet1!H:H,1,0)</f>
        <v>#N/A</v>
      </c>
    </row>
    <row r="458" spans="1:12">
      <c r="A458" t="s">
        <v>793</v>
      </c>
      <c r="B458" t="s">
        <v>324</v>
      </c>
      <c r="C458" t="s">
        <v>210</v>
      </c>
      <c r="D458" t="s">
        <v>211</v>
      </c>
      <c r="E458" t="s">
        <v>809</v>
      </c>
      <c r="F458" t="s">
        <v>810</v>
      </c>
      <c r="G458" t="s">
        <v>811</v>
      </c>
      <c r="H458">
        <v>3155406</v>
      </c>
      <c r="I458" t="s">
        <v>214</v>
      </c>
      <c r="J458" s="14">
        <v>45931</v>
      </c>
      <c r="K458" t="s">
        <v>812</v>
      </c>
      <c r="L458" t="e">
        <f>VLOOKUP(H458,Sheet1!H:H,1,0)</f>
        <v>#N/A</v>
      </c>
    </row>
    <row r="459" spans="1:12">
      <c r="A459" t="s">
        <v>793</v>
      </c>
      <c r="B459" t="s">
        <v>324</v>
      </c>
      <c r="C459" t="s">
        <v>210</v>
      </c>
      <c r="D459" t="s">
        <v>211</v>
      </c>
      <c r="E459" t="s">
        <v>813</v>
      </c>
      <c r="F459" t="s">
        <v>814</v>
      </c>
      <c r="G459" t="s">
        <v>815</v>
      </c>
      <c r="H459">
        <v>2828606</v>
      </c>
      <c r="I459" t="s">
        <v>214</v>
      </c>
      <c r="J459" s="14">
        <v>44789</v>
      </c>
      <c r="K459" t="s">
        <v>816</v>
      </c>
      <c r="L459" t="e">
        <f>VLOOKUP(H459,Sheet1!H:H,1,0)</f>
        <v>#N/A</v>
      </c>
    </row>
    <row r="460" spans="1:12">
      <c r="A460" t="s">
        <v>793</v>
      </c>
      <c r="B460" t="s">
        <v>324</v>
      </c>
      <c r="C460" t="s">
        <v>210</v>
      </c>
      <c r="D460" t="s">
        <v>211</v>
      </c>
      <c r="E460" t="s">
        <v>809</v>
      </c>
      <c r="F460" t="s">
        <v>810</v>
      </c>
      <c r="G460" t="s">
        <v>817</v>
      </c>
      <c r="H460">
        <v>3211806</v>
      </c>
      <c r="I460" t="s">
        <v>220</v>
      </c>
      <c r="J460" s="14">
        <v>45992</v>
      </c>
      <c r="K460" t="s">
        <v>812</v>
      </c>
      <c r="L460" t="e">
        <f>VLOOKUP(H460,Sheet1!H:H,1,0)</f>
        <v>#N/A</v>
      </c>
    </row>
    <row r="461" spans="1:12">
      <c r="A461" t="s">
        <v>793</v>
      </c>
      <c r="B461" t="s">
        <v>324</v>
      </c>
      <c r="C461" t="s">
        <v>210</v>
      </c>
      <c r="D461" t="s">
        <v>211</v>
      </c>
      <c r="E461" t="s">
        <v>818</v>
      </c>
      <c r="F461" t="s">
        <v>819</v>
      </c>
      <c r="G461" t="s">
        <v>820</v>
      </c>
      <c r="H461">
        <v>3219106</v>
      </c>
      <c r="I461" t="s">
        <v>214</v>
      </c>
      <c r="J461" s="14">
        <v>46007</v>
      </c>
      <c r="K461" t="s">
        <v>821</v>
      </c>
      <c r="L461" t="e">
        <f>VLOOKUP(H461,Sheet1!H:H,1,0)</f>
        <v>#N/A</v>
      </c>
    </row>
    <row r="462" spans="1:12">
      <c r="A462" t="s">
        <v>793</v>
      </c>
      <c r="B462" t="s">
        <v>324</v>
      </c>
      <c r="C462" t="s">
        <v>210</v>
      </c>
      <c r="D462" t="s">
        <v>287</v>
      </c>
      <c r="E462" t="s">
        <v>822</v>
      </c>
      <c r="F462" t="s">
        <v>823</v>
      </c>
      <c r="G462" t="s">
        <v>824</v>
      </c>
      <c r="H462">
        <v>3150006</v>
      </c>
      <c r="I462" t="s">
        <v>308</v>
      </c>
      <c r="J462" s="14">
        <v>45901</v>
      </c>
      <c r="K462" t="s">
        <v>825</v>
      </c>
      <c r="L462" t="e">
        <f>VLOOKUP(H462,Sheet1!H:H,1,0)</f>
        <v>#N/A</v>
      </c>
    </row>
    <row r="463" spans="1:12">
      <c r="A463" t="s">
        <v>793</v>
      </c>
      <c r="B463" t="s">
        <v>324</v>
      </c>
      <c r="C463" t="s">
        <v>210</v>
      </c>
      <c r="D463" t="s">
        <v>211</v>
      </c>
      <c r="E463" t="s">
        <v>813</v>
      </c>
      <c r="F463" t="s">
        <v>814</v>
      </c>
      <c r="G463" t="s">
        <v>826</v>
      </c>
      <c r="H463">
        <v>3128706</v>
      </c>
      <c r="I463" t="s">
        <v>220</v>
      </c>
      <c r="J463" s="14">
        <v>45824</v>
      </c>
      <c r="K463" t="s">
        <v>816</v>
      </c>
      <c r="L463" t="e">
        <f>VLOOKUP(H463,Sheet1!H:H,1,0)</f>
        <v>#N/A</v>
      </c>
    </row>
    <row r="464" spans="1:12">
      <c r="A464" t="s">
        <v>793</v>
      </c>
      <c r="B464" t="s">
        <v>324</v>
      </c>
      <c r="C464" t="s">
        <v>429</v>
      </c>
      <c r="D464" t="s">
        <v>211</v>
      </c>
      <c r="E464" t="s">
        <v>818</v>
      </c>
      <c r="F464" t="s">
        <v>819</v>
      </c>
      <c r="G464" t="s">
        <v>827</v>
      </c>
      <c r="H464">
        <v>3132506</v>
      </c>
      <c r="I464" t="s">
        <v>220</v>
      </c>
      <c r="J464" s="14">
        <v>45835</v>
      </c>
      <c r="K464" t="s">
        <v>821</v>
      </c>
      <c r="L464" t="e">
        <f>VLOOKUP(H464,Sheet1!H:H,1,0)</f>
        <v>#N/A</v>
      </c>
    </row>
    <row r="465" spans="1:12">
      <c r="A465" t="s">
        <v>793</v>
      </c>
      <c r="B465" t="s">
        <v>324</v>
      </c>
      <c r="C465" t="s">
        <v>210</v>
      </c>
      <c r="D465" t="s">
        <v>211</v>
      </c>
      <c r="E465" t="s">
        <v>818</v>
      </c>
      <c r="F465" t="s">
        <v>814</v>
      </c>
      <c r="G465" t="s">
        <v>828</v>
      </c>
      <c r="H465">
        <v>3231706</v>
      </c>
      <c r="I465" t="s">
        <v>214</v>
      </c>
      <c r="J465" s="14">
        <v>46069</v>
      </c>
      <c r="K465" t="s">
        <v>821</v>
      </c>
      <c r="L465" t="e">
        <f>VLOOKUP(H465,Sheet1!H:H,1,0)</f>
        <v>#N/A</v>
      </c>
    </row>
    <row r="466" spans="1:12">
      <c r="A466" t="s">
        <v>793</v>
      </c>
      <c r="B466" t="s">
        <v>324</v>
      </c>
      <c r="C466" t="s">
        <v>210</v>
      </c>
      <c r="D466" t="s">
        <v>211</v>
      </c>
      <c r="E466" t="s">
        <v>813</v>
      </c>
      <c r="F466" t="s">
        <v>814</v>
      </c>
      <c r="G466" t="s">
        <v>829</v>
      </c>
      <c r="H466">
        <v>3035206</v>
      </c>
      <c r="I466" t="s">
        <v>214</v>
      </c>
      <c r="J466" s="14">
        <v>45553</v>
      </c>
      <c r="K466" t="s">
        <v>816</v>
      </c>
      <c r="L466" t="e">
        <f>VLOOKUP(H466,Sheet1!H:H,1,0)</f>
        <v>#N/A</v>
      </c>
    </row>
    <row r="467" spans="1:12">
      <c r="A467" t="s">
        <v>793</v>
      </c>
      <c r="B467" t="s">
        <v>324</v>
      </c>
      <c r="C467" t="s">
        <v>210</v>
      </c>
      <c r="D467" t="s">
        <v>287</v>
      </c>
      <c r="E467" t="s">
        <v>830</v>
      </c>
      <c r="F467" t="s">
        <v>823</v>
      </c>
      <c r="G467" t="s">
        <v>831</v>
      </c>
      <c r="H467">
        <v>2337306</v>
      </c>
      <c r="I467" t="s">
        <v>832</v>
      </c>
      <c r="J467" s="14">
        <v>42667</v>
      </c>
      <c r="K467" t="s">
        <v>797</v>
      </c>
      <c r="L467" t="e">
        <f>VLOOKUP(H467,Sheet1!H:H,1,0)</f>
        <v>#N/A</v>
      </c>
    </row>
    <row r="468" spans="1:12">
      <c r="A468" t="s">
        <v>793</v>
      </c>
      <c r="B468" t="s">
        <v>324</v>
      </c>
      <c r="C468" t="s">
        <v>210</v>
      </c>
      <c r="D468" t="s">
        <v>287</v>
      </c>
      <c r="E468" t="s">
        <v>833</v>
      </c>
      <c r="F468" t="s">
        <v>823</v>
      </c>
      <c r="G468" t="s">
        <v>834</v>
      </c>
      <c r="H468">
        <v>3131606</v>
      </c>
      <c r="I468" t="s">
        <v>723</v>
      </c>
      <c r="J468" s="14">
        <v>45832</v>
      </c>
      <c r="K468" t="s">
        <v>835</v>
      </c>
      <c r="L468" t="e">
        <f>VLOOKUP(H468,Sheet1!H:H,1,0)</f>
        <v>#N/A</v>
      </c>
    </row>
    <row r="469" spans="1:12">
      <c r="A469" t="s">
        <v>793</v>
      </c>
      <c r="B469" t="s">
        <v>324</v>
      </c>
      <c r="C469" t="s">
        <v>210</v>
      </c>
      <c r="D469" t="s">
        <v>211</v>
      </c>
      <c r="E469" t="s">
        <v>809</v>
      </c>
      <c r="F469" t="s">
        <v>810</v>
      </c>
      <c r="G469" t="s">
        <v>836</v>
      </c>
      <c r="H469">
        <v>2957906</v>
      </c>
      <c r="I469" t="s">
        <v>214</v>
      </c>
      <c r="J469" s="14">
        <v>45232</v>
      </c>
      <c r="K469" t="s">
        <v>812</v>
      </c>
      <c r="L469" t="e">
        <f>VLOOKUP(H469,Sheet1!H:H,1,0)</f>
        <v>#N/A</v>
      </c>
    </row>
    <row r="470" spans="1:12">
      <c r="A470" t="s">
        <v>793</v>
      </c>
      <c r="B470" t="s">
        <v>324</v>
      </c>
      <c r="C470" t="s">
        <v>210</v>
      </c>
      <c r="D470" t="s">
        <v>211</v>
      </c>
      <c r="E470" t="s">
        <v>813</v>
      </c>
      <c r="F470" t="s">
        <v>814</v>
      </c>
      <c r="G470" t="s">
        <v>837</v>
      </c>
      <c r="H470">
        <v>2946406</v>
      </c>
      <c r="I470" t="s">
        <v>214</v>
      </c>
      <c r="J470" s="14">
        <v>45201</v>
      </c>
      <c r="K470" t="s">
        <v>816</v>
      </c>
      <c r="L470" t="e">
        <f>VLOOKUP(H470,Sheet1!H:H,1,0)</f>
        <v>#N/A</v>
      </c>
    </row>
    <row r="471" spans="1:12">
      <c r="A471" t="s">
        <v>793</v>
      </c>
      <c r="B471" t="s">
        <v>324</v>
      </c>
      <c r="C471" t="s">
        <v>210</v>
      </c>
      <c r="D471" t="s">
        <v>211</v>
      </c>
      <c r="E471" t="s">
        <v>818</v>
      </c>
      <c r="F471" t="s">
        <v>814</v>
      </c>
      <c r="G471" t="s">
        <v>838</v>
      </c>
      <c r="H471">
        <v>3013806</v>
      </c>
      <c r="I471" t="s">
        <v>220</v>
      </c>
      <c r="J471" s="14">
        <v>45446</v>
      </c>
      <c r="K471" t="s">
        <v>821</v>
      </c>
      <c r="L471" t="e">
        <f>VLOOKUP(H471,Sheet1!H:H,1,0)</f>
        <v>#N/A</v>
      </c>
    </row>
    <row r="472" spans="1:12">
      <c r="A472" t="s">
        <v>793</v>
      </c>
      <c r="B472" t="s">
        <v>324</v>
      </c>
      <c r="C472" t="s">
        <v>210</v>
      </c>
      <c r="D472" t="s">
        <v>211</v>
      </c>
      <c r="E472" t="s">
        <v>818</v>
      </c>
      <c r="F472" t="s">
        <v>814</v>
      </c>
      <c r="G472" t="s">
        <v>839</v>
      </c>
      <c r="H472">
        <v>2923806</v>
      </c>
      <c r="I472" t="s">
        <v>214</v>
      </c>
      <c r="J472" s="14">
        <v>45093</v>
      </c>
      <c r="K472" t="s">
        <v>821</v>
      </c>
      <c r="L472" t="e">
        <f>VLOOKUP(H472,Sheet1!H:H,1,0)</f>
        <v>#N/A</v>
      </c>
    </row>
    <row r="473" spans="1:12">
      <c r="A473" t="s">
        <v>793</v>
      </c>
      <c r="B473" t="s">
        <v>324</v>
      </c>
      <c r="C473" t="s">
        <v>210</v>
      </c>
      <c r="D473" t="s">
        <v>211</v>
      </c>
      <c r="E473" t="s">
        <v>813</v>
      </c>
      <c r="F473" t="s">
        <v>814</v>
      </c>
      <c r="G473" t="s">
        <v>840</v>
      </c>
      <c r="H473">
        <v>3228206</v>
      </c>
      <c r="I473" t="s">
        <v>220</v>
      </c>
      <c r="J473" s="14">
        <v>46055</v>
      </c>
      <c r="K473" t="s">
        <v>816</v>
      </c>
      <c r="L473" t="e">
        <f>VLOOKUP(H473,Sheet1!H:H,1,0)</f>
        <v>#N/A</v>
      </c>
    </row>
    <row r="474" spans="1:12">
      <c r="A474" t="s">
        <v>793</v>
      </c>
      <c r="B474" t="s">
        <v>324</v>
      </c>
      <c r="C474" t="s">
        <v>210</v>
      </c>
      <c r="D474" t="s">
        <v>211</v>
      </c>
      <c r="E474" t="s">
        <v>813</v>
      </c>
      <c r="F474" t="s">
        <v>814</v>
      </c>
      <c r="G474" t="s">
        <v>841</v>
      </c>
      <c r="H474">
        <v>3144006</v>
      </c>
      <c r="I474" t="s">
        <v>214</v>
      </c>
      <c r="J474" s="14">
        <v>45877</v>
      </c>
      <c r="K474" t="s">
        <v>816</v>
      </c>
      <c r="L474" t="e">
        <f>VLOOKUP(H474,Sheet1!H:H,1,0)</f>
        <v>#N/A</v>
      </c>
    </row>
    <row r="475" spans="1:12">
      <c r="A475" t="s">
        <v>793</v>
      </c>
      <c r="B475" t="s">
        <v>274</v>
      </c>
      <c r="C475" t="s">
        <v>210</v>
      </c>
      <c r="D475" t="s">
        <v>287</v>
      </c>
      <c r="E475" t="s">
        <v>822</v>
      </c>
      <c r="F475" t="s">
        <v>823</v>
      </c>
      <c r="G475" t="s">
        <v>842</v>
      </c>
      <c r="H475">
        <v>1397206</v>
      </c>
      <c r="I475" t="s">
        <v>843</v>
      </c>
      <c r="J475" s="14">
        <v>43102</v>
      </c>
      <c r="K475" t="s">
        <v>825</v>
      </c>
      <c r="L475" t="e">
        <f>VLOOKUP(H475,Sheet1!H:H,1,0)</f>
        <v>#N/A</v>
      </c>
    </row>
    <row r="476" spans="1:12">
      <c r="A476" t="s">
        <v>793</v>
      </c>
      <c r="B476" t="s">
        <v>324</v>
      </c>
      <c r="C476" t="s">
        <v>210</v>
      </c>
      <c r="D476" t="s">
        <v>211</v>
      </c>
      <c r="E476" t="s">
        <v>813</v>
      </c>
      <c r="F476" t="s">
        <v>814</v>
      </c>
      <c r="G476" t="s">
        <v>844</v>
      </c>
      <c r="H476">
        <v>3028806</v>
      </c>
      <c r="I476" t="s">
        <v>214</v>
      </c>
      <c r="J476" s="14">
        <v>45537</v>
      </c>
      <c r="K476" t="s">
        <v>816</v>
      </c>
      <c r="L476" t="e">
        <f>VLOOKUP(H476,Sheet1!H:H,1,0)</f>
        <v>#N/A</v>
      </c>
    </row>
    <row r="477" spans="1:12">
      <c r="A477" t="s">
        <v>793</v>
      </c>
      <c r="B477" t="s">
        <v>324</v>
      </c>
      <c r="C477" t="s">
        <v>210</v>
      </c>
      <c r="D477" t="s">
        <v>211</v>
      </c>
      <c r="E477" t="s">
        <v>813</v>
      </c>
      <c r="F477" t="s">
        <v>814</v>
      </c>
      <c r="G477" t="s">
        <v>845</v>
      </c>
      <c r="H477">
        <v>3041806</v>
      </c>
      <c r="I477" t="s">
        <v>214</v>
      </c>
      <c r="J477" s="14">
        <v>45565</v>
      </c>
      <c r="K477" t="s">
        <v>816</v>
      </c>
      <c r="L477" t="e">
        <f>VLOOKUP(H477,Sheet1!H:H,1,0)</f>
        <v>#N/A</v>
      </c>
    </row>
    <row r="478" spans="1:12">
      <c r="A478" t="s">
        <v>793</v>
      </c>
      <c r="B478" t="s">
        <v>324</v>
      </c>
      <c r="C478" t="s">
        <v>210</v>
      </c>
      <c r="D478" t="s">
        <v>211</v>
      </c>
      <c r="E478" t="s">
        <v>809</v>
      </c>
      <c r="F478" t="s">
        <v>810</v>
      </c>
      <c r="G478" t="s">
        <v>846</v>
      </c>
      <c r="H478">
        <v>2961206</v>
      </c>
      <c r="I478" t="s">
        <v>214</v>
      </c>
      <c r="J478" s="14">
        <v>45824</v>
      </c>
      <c r="K478" t="s">
        <v>812</v>
      </c>
      <c r="L478" t="e">
        <f>VLOOKUP(H478,Sheet1!H:H,1,0)</f>
        <v>#N/A</v>
      </c>
    </row>
    <row r="479" spans="1:12">
      <c r="A479" t="s">
        <v>793</v>
      </c>
      <c r="B479" t="s">
        <v>324</v>
      </c>
      <c r="C479" t="s">
        <v>210</v>
      </c>
      <c r="D479" t="s">
        <v>211</v>
      </c>
      <c r="E479" t="s">
        <v>813</v>
      </c>
      <c r="F479" t="s">
        <v>814</v>
      </c>
      <c r="G479" t="s">
        <v>847</v>
      </c>
      <c r="H479">
        <v>3033006</v>
      </c>
      <c r="I479" t="s">
        <v>214</v>
      </c>
      <c r="J479" s="14">
        <v>45551</v>
      </c>
      <c r="K479" t="s">
        <v>816</v>
      </c>
      <c r="L479" t="e">
        <f>VLOOKUP(H479,Sheet1!H:H,1,0)</f>
        <v>#N/A</v>
      </c>
    </row>
    <row r="480" spans="1:12">
      <c r="A480" t="s">
        <v>793</v>
      </c>
      <c r="B480" t="s">
        <v>324</v>
      </c>
      <c r="C480" t="s">
        <v>210</v>
      </c>
      <c r="D480" t="s">
        <v>211</v>
      </c>
      <c r="E480" t="s">
        <v>818</v>
      </c>
      <c r="F480" t="s">
        <v>819</v>
      </c>
      <c r="G480" t="s">
        <v>848</v>
      </c>
      <c r="H480">
        <v>3128506</v>
      </c>
      <c r="I480" t="s">
        <v>214</v>
      </c>
      <c r="J480" s="14">
        <v>45824</v>
      </c>
      <c r="K480" t="s">
        <v>821</v>
      </c>
      <c r="L480" t="e">
        <f>VLOOKUP(H480,Sheet1!H:H,1,0)</f>
        <v>#N/A</v>
      </c>
    </row>
    <row r="481" spans="1:12">
      <c r="A481" t="s">
        <v>793</v>
      </c>
      <c r="B481" t="s">
        <v>324</v>
      </c>
      <c r="C481" t="s">
        <v>210</v>
      </c>
      <c r="D481" t="s">
        <v>211</v>
      </c>
      <c r="E481" t="s">
        <v>809</v>
      </c>
      <c r="F481" t="s">
        <v>810</v>
      </c>
      <c r="G481" t="s">
        <v>849</v>
      </c>
      <c r="H481">
        <v>2941306</v>
      </c>
      <c r="I481" t="s">
        <v>424</v>
      </c>
      <c r="J481" s="14">
        <v>45187</v>
      </c>
      <c r="K481" t="s">
        <v>812</v>
      </c>
      <c r="L481" t="e">
        <f>VLOOKUP(H481,Sheet1!H:H,1,0)</f>
        <v>#N/A</v>
      </c>
    </row>
    <row r="482" spans="1:12">
      <c r="A482" t="s">
        <v>793</v>
      </c>
      <c r="B482" t="s">
        <v>324</v>
      </c>
      <c r="C482" t="s">
        <v>210</v>
      </c>
      <c r="D482" t="s">
        <v>211</v>
      </c>
      <c r="E482" t="s">
        <v>809</v>
      </c>
      <c r="F482" t="s">
        <v>810</v>
      </c>
      <c r="G482" t="s">
        <v>850</v>
      </c>
      <c r="H482">
        <v>3029206</v>
      </c>
      <c r="I482" t="s">
        <v>214</v>
      </c>
      <c r="J482" s="14">
        <v>45537</v>
      </c>
      <c r="K482" t="s">
        <v>812</v>
      </c>
      <c r="L482" t="e">
        <f>VLOOKUP(H482,Sheet1!H:H,1,0)</f>
        <v>#N/A</v>
      </c>
    </row>
    <row r="483" spans="1:12">
      <c r="A483" t="s">
        <v>793</v>
      </c>
      <c r="B483" t="s">
        <v>324</v>
      </c>
      <c r="C483" t="s">
        <v>210</v>
      </c>
      <c r="D483" t="s">
        <v>211</v>
      </c>
      <c r="E483" t="s">
        <v>813</v>
      </c>
      <c r="F483" t="s">
        <v>814</v>
      </c>
      <c r="G483" t="s">
        <v>851</v>
      </c>
      <c r="H483">
        <v>2641306</v>
      </c>
      <c r="I483" t="s">
        <v>638</v>
      </c>
      <c r="J483" s="14">
        <v>44137</v>
      </c>
      <c r="K483" t="s">
        <v>816</v>
      </c>
      <c r="L483" t="e">
        <f>VLOOKUP(H483,Sheet1!H:H,1,0)</f>
        <v>#N/A</v>
      </c>
    </row>
    <row r="484" spans="1:12">
      <c r="A484" t="s">
        <v>793</v>
      </c>
      <c r="B484" t="s">
        <v>324</v>
      </c>
      <c r="C484" t="s">
        <v>210</v>
      </c>
      <c r="D484" t="s">
        <v>211</v>
      </c>
      <c r="E484" t="s">
        <v>809</v>
      </c>
      <c r="F484" t="s">
        <v>810</v>
      </c>
      <c r="G484" t="s">
        <v>852</v>
      </c>
      <c r="H484">
        <v>2752506</v>
      </c>
      <c r="I484" t="s">
        <v>853</v>
      </c>
      <c r="J484" s="14">
        <v>44505</v>
      </c>
      <c r="K484" t="s">
        <v>812</v>
      </c>
      <c r="L484" t="e">
        <f>VLOOKUP(H484,Sheet1!H:H,1,0)</f>
        <v>#N/A</v>
      </c>
    </row>
    <row r="485" spans="1:12">
      <c r="A485" t="s">
        <v>793</v>
      </c>
      <c r="B485" t="s">
        <v>209</v>
      </c>
      <c r="C485" t="s">
        <v>210</v>
      </c>
      <c r="D485" t="s">
        <v>287</v>
      </c>
      <c r="E485" t="s">
        <v>830</v>
      </c>
      <c r="F485" t="s">
        <v>854</v>
      </c>
      <c r="G485" t="s">
        <v>825</v>
      </c>
      <c r="H485">
        <v>1543306</v>
      </c>
      <c r="I485" t="s">
        <v>488</v>
      </c>
      <c r="J485" s="14">
        <v>40126</v>
      </c>
      <c r="K485" t="s">
        <v>797</v>
      </c>
      <c r="L485" t="e">
        <f>VLOOKUP(H485,Sheet1!H:H,1,0)</f>
        <v>#N/A</v>
      </c>
    </row>
    <row r="486" spans="1:12">
      <c r="A486" t="s">
        <v>793</v>
      </c>
      <c r="B486" t="s">
        <v>324</v>
      </c>
      <c r="C486" t="s">
        <v>210</v>
      </c>
      <c r="D486" t="s">
        <v>211</v>
      </c>
      <c r="E486" t="s">
        <v>813</v>
      </c>
      <c r="F486" t="s">
        <v>814</v>
      </c>
      <c r="G486" t="s">
        <v>855</v>
      </c>
      <c r="H486">
        <v>3214906</v>
      </c>
      <c r="I486" t="s">
        <v>214</v>
      </c>
      <c r="J486" s="14">
        <v>45992</v>
      </c>
      <c r="K486" t="s">
        <v>816</v>
      </c>
      <c r="L486" t="e">
        <f>VLOOKUP(H486,Sheet1!H:H,1,0)</f>
        <v>#N/A</v>
      </c>
    </row>
    <row r="487" spans="1:12">
      <c r="A487" t="s">
        <v>793</v>
      </c>
      <c r="B487" t="s">
        <v>324</v>
      </c>
      <c r="C487" t="s">
        <v>210</v>
      </c>
      <c r="D487" t="s">
        <v>211</v>
      </c>
      <c r="E487" t="s">
        <v>813</v>
      </c>
      <c r="F487" t="s">
        <v>814</v>
      </c>
      <c r="G487" t="s">
        <v>856</v>
      </c>
      <c r="H487">
        <v>2915506</v>
      </c>
      <c r="I487" t="s">
        <v>422</v>
      </c>
      <c r="J487" s="14">
        <v>45062</v>
      </c>
      <c r="K487" t="s">
        <v>816</v>
      </c>
      <c r="L487" t="e">
        <f>VLOOKUP(H487,Sheet1!H:H,1,0)</f>
        <v>#N/A</v>
      </c>
    </row>
    <row r="488" spans="1:12">
      <c r="A488" t="s">
        <v>793</v>
      </c>
      <c r="B488" t="s">
        <v>324</v>
      </c>
      <c r="C488" t="s">
        <v>210</v>
      </c>
      <c r="D488" t="s">
        <v>287</v>
      </c>
      <c r="E488" t="s">
        <v>830</v>
      </c>
      <c r="F488" t="s">
        <v>823</v>
      </c>
      <c r="G488" t="s">
        <v>857</v>
      </c>
      <c r="H488">
        <v>1976706</v>
      </c>
      <c r="I488" t="s">
        <v>858</v>
      </c>
      <c r="J488" s="14">
        <v>41852</v>
      </c>
      <c r="K488" t="s">
        <v>797</v>
      </c>
      <c r="L488" t="e">
        <f>VLOOKUP(H488,Sheet1!H:H,1,0)</f>
        <v>#N/A</v>
      </c>
    </row>
    <row r="489" spans="1:12">
      <c r="A489" t="s">
        <v>793</v>
      </c>
      <c r="B489" t="s">
        <v>324</v>
      </c>
      <c r="C489" t="s">
        <v>210</v>
      </c>
      <c r="D489" t="s">
        <v>211</v>
      </c>
      <c r="E489" t="s">
        <v>813</v>
      </c>
      <c r="F489" t="s">
        <v>814</v>
      </c>
      <c r="G489" t="s">
        <v>859</v>
      </c>
      <c r="H489">
        <v>2922506</v>
      </c>
      <c r="I489" t="s">
        <v>422</v>
      </c>
      <c r="J489" s="14">
        <v>45093</v>
      </c>
      <c r="K489" t="s">
        <v>816</v>
      </c>
      <c r="L489" t="e">
        <f>VLOOKUP(H489,Sheet1!H:H,1,0)</f>
        <v>#N/A</v>
      </c>
    </row>
    <row r="490" spans="1:12">
      <c r="A490" t="s">
        <v>793</v>
      </c>
      <c r="B490" t="s">
        <v>324</v>
      </c>
      <c r="C490" t="s">
        <v>210</v>
      </c>
      <c r="D490" t="s">
        <v>211</v>
      </c>
      <c r="E490" t="s">
        <v>809</v>
      </c>
      <c r="F490" t="s">
        <v>810</v>
      </c>
      <c r="G490" t="s">
        <v>860</v>
      </c>
      <c r="H490">
        <v>3074706</v>
      </c>
      <c r="I490" t="s">
        <v>214</v>
      </c>
      <c r="J490" s="14">
        <v>46083</v>
      </c>
      <c r="K490" t="s">
        <v>812</v>
      </c>
      <c r="L490" t="e">
        <f>VLOOKUP(H490,Sheet1!H:H,1,0)</f>
        <v>#N/A</v>
      </c>
    </row>
    <row r="491" spans="1:12">
      <c r="A491" t="s">
        <v>793</v>
      </c>
      <c r="B491" t="s">
        <v>324</v>
      </c>
      <c r="C491" t="s">
        <v>210</v>
      </c>
      <c r="D491" t="s">
        <v>211</v>
      </c>
      <c r="E491" t="s">
        <v>813</v>
      </c>
      <c r="F491" t="s">
        <v>814</v>
      </c>
      <c r="G491" t="s">
        <v>861</v>
      </c>
      <c r="H491">
        <v>3231906</v>
      </c>
      <c r="I491" t="s">
        <v>220</v>
      </c>
      <c r="J491" s="14">
        <v>46069</v>
      </c>
      <c r="K491" t="s">
        <v>816</v>
      </c>
      <c r="L491" t="e">
        <f>VLOOKUP(H491,Sheet1!H:H,1,0)</f>
        <v>#N/A</v>
      </c>
    </row>
    <row r="492" spans="1:12">
      <c r="A492" t="s">
        <v>793</v>
      </c>
      <c r="B492" t="s">
        <v>324</v>
      </c>
      <c r="C492" t="s">
        <v>429</v>
      </c>
      <c r="D492" t="s">
        <v>211</v>
      </c>
      <c r="E492" t="s">
        <v>818</v>
      </c>
      <c r="F492" t="s">
        <v>819</v>
      </c>
      <c r="G492" t="s">
        <v>862</v>
      </c>
      <c r="H492">
        <v>2915206</v>
      </c>
      <c r="I492" t="s">
        <v>220</v>
      </c>
      <c r="J492" s="14">
        <v>45062</v>
      </c>
      <c r="K492" t="s">
        <v>821</v>
      </c>
      <c r="L492" t="e">
        <f>VLOOKUP(H492,Sheet1!H:H,1,0)</f>
        <v>#N/A</v>
      </c>
    </row>
    <row r="493" spans="1:12">
      <c r="A493" t="s">
        <v>793</v>
      </c>
      <c r="B493" t="s">
        <v>324</v>
      </c>
      <c r="C493" t="s">
        <v>210</v>
      </c>
      <c r="D493" t="s">
        <v>211</v>
      </c>
      <c r="E493" t="s">
        <v>809</v>
      </c>
      <c r="F493" t="s">
        <v>814</v>
      </c>
      <c r="G493" t="s">
        <v>863</v>
      </c>
      <c r="H493">
        <v>3233506</v>
      </c>
      <c r="I493" t="s">
        <v>214</v>
      </c>
      <c r="J493" s="14">
        <v>46083</v>
      </c>
      <c r="K493" t="s">
        <v>812</v>
      </c>
      <c r="L493" t="e">
        <f>VLOOKUP(H493,Sheet1!H:H,1,0)</f>
        <v>#N/A</v>
      </c>
    </row>
    <row r="494" spans="1:12">
      <c r="A494" t="s">
        <v>793</v>
      </c>
      <c r="B494" t="s">
        <v>324</v>
      </c>
      <c r="C494" t="s">
        <v>210</v>
      </c>
      <c r="D494" t="s">
        <v>287</v>
      </c>
      <c r="E494" t="s">
        <v>864</v>
      </c>
      <c r="F494" t="s">
        <v>823</v>
      </c>
      <c r="G494" t="s">
        <v>865</v>
      </c>
      <c r="H494">
        <v>2719106</v>
      </c>
      <c r="I494" t="s">
        <v>295</v>
      </c>
      <c r="J494" s="14">
        <v>44425</v>
      </c>
      <c r="K494" t="s">
        <v>831</v>
      </c>
      <c r="L494" t="e">
        <f>VLOOKUP(H494,Sheet1!H:H,1,0)</f>
        <v>#N/A</v>
      </c>
    </row>
    <row r="495" spans="1:12">
      <c r="A495" t="s">
        <v>793</v>
      </c>
      <c r="B495" t="s">
        <v>324</v>
      </c>
      <c r="C495" t="s">
        <v>210</v>
      </c>
      <c r="D495" t="s">
        <v>211</v>
      </c>
      <c r="E495" t="s">
        <v>818</v>
      </c>
      <c r="F495" t="s">
        <v>819</v>
      </c>
      <c r="G495" t="s">
        <v>866</v>
      </c>
      <c r="H495">
        <v>3110506</v>
      </c>
      <c r="I495" t="s">
        <v>214</v>
      </c>
      <c r="J495" s="14">
        <v>46055</v>
      </c>
      <c r="K495" t="s">
        <v>821</v>
      </c>
      <c r="L495" t="e">
        <f>VLOOKUP(H495,Sheet1!H:H,1,0)</f>
        <v>#N/A</v>
      </c>
    </row>
    <row r="496" spans="1:12">
      <c r="A496" t="s">
        <v>793</v>
      </c>
      <c r="B496" t="s">
        <v>324</v>
      </c>
      <c r="C496" t="s">
        <v>210</v>
      </c>
      <c r="D496" t="s">
        <v>211</v>
      </c>
      <c r="E496" t="s">
        <v>809</v>
      </c>
      <c r="F496" t="s">
        <v>810</v>
      </c>
      <c r="G496" t="s">
        <v>867</v>
      </c>
      <c r="H496">
        <v>3137606</v>
      </c>
      <c r="I496" t="s">
        <v>220</v>
      </c>
      <c r="J496" s="14">
        <v>45855</v>
      </c>
      <c r="K496" t="s">
        <v>812</v>
      </c>
      <c r="L496" t="e">
        <f>VLOOKUP(H496,Sheet1!H:H,1,0)</f>
        <v>#N/A</v>
      </c>
    </row>
    <row r="497" spans="1:12">
      <c r="A497" t="s">
        <v>793</v>
      </c>
      <c r="B497" t="s">
        <v>324</v>
      </c>
      <c r="C497" t="s">
        <v>210</v>
      </c>
      <c r="D497" t="s">
        <v>287</v>
      </c>
      <c r="E497" t="s">
        <v>830</v>
      </c>
      <c r="F497" t="s">
        <v>823</v>
      </c>
      <c r="G497" t="s">
        <v>868</v>
      </c>
      <c r="H497">
        <v>1350506</v>
      </c>
      <c r="I497" t="s">
        <v>869</v>
      </c>
      <c r="J497" s="14">
        <v>43542</v>
      </c>
      <c r="K497" t="s">
        <v>797</v>
      </c>
      <c r="L497" t="e">
        <f>VLOOKUP(H497,Sheet1!H:H,1,0)</f>
        <v>#N/A</v>
      </c>
    </row>
    <row r="498" spans="1:12">
      <c r="A498" t="s">
        <v>793</v>
      </c>
      <c r="B498" t="s">
        <v>293</v>
      </c>
      <c r="C498" t="s">
        <v>210</v>
      </c>
      <c r="D498" t="s">
        <v>287</v>
      </c>
      <c r="E498" t="s">
        <v>794</v>
      </c>
      <c r="F498" t="s">
        <v>870</v>
      </c>
      <c r="G498" t="s">
        <v>871</v>
      </c>
      <c r="H498">
        <v>3011106</v>
      </c>
      <c r="I498" t="s">
        <v>323</v>
      </c>
      <c r="J498" s="14">
        <v>45433</v>
      </c>
      <c r="K498" t="s">
        <v>797</v>
      </c>
      <c r="L498" t="e">
        <f>VLOOKUP(H498,Sheet1!H:H,1,0)</f>
        <v>#N/A</v>
      </c>
    </row>
    <row r="499" spans="1:12">
      <c r="A499" t="s">
        <v>793</v>
      </c>
      <c r="B499" t="s">
        <v>324</v>
      </c>
      <c r="C499" t="s">
        <v>210</v>
      </c>
      <c r="D499" t="s">
        <v>211</v>
      </c>
      <c r="E499" t="s">
        <v>813</v>
      </c>
      <c r="F499" t="s">
        <v>814</v>
      </c>
      <c r="G499" t="s">
        <v>872</v>
      </c>
      <c r="H499">
        <v>3025706</v>
      </c>
      <c r="I499" t="s">
        <v>214</v>
      </c>
      <c r="J499" s="14">
        <v>45523</v>
      </c>
      <c r="K499" t="s">
        <v>816</v>
      </c>
      <c r="L499" t="e">
        <f>VLOOKUP(H499,Sheet1!H:H,1,0)</f>
        <v>#N/A</v>
      </c>
    </row>
    <row r="500" spans="1:12">
      <c r="A500" t="s">
        <v>793</v>
      </c>
      <c r="B500" t="s">
        <v>209</v>
      </c>
      <c r="C500" t="s">
        <v>210</v>
      </c>
      <c r="D500" t="s">
        <v>287</v>
      </c>
      <c r="E500" t="s">
        <v>830</v>
      </c>
      <c r="F500" t="s">
        <v>854</v>
      </c>
      <c r="G500" t="s">
        <v>835</v>
      </c>
      <c r="H500">
        <v>2491506</v>
      </c>
      <c r="I500" t="s">
        <v>873</v>
      </c>
      <c r="J500" s="14">
        <v>43236</v>
      </c>
      <c r="K500" t="s">
        <v>797</v>
      </c>
      <c r="L500" t="e">
        <f>VLOOKUP(H500,Sheet1!H:H,1,0)</f>
        <v>#N/A</v>
      </c>
    </row>
    <row r="501" spans="1:12">
      <c r="A501" t="s">
        <v>793</v>
      </c>
      <c r="B501" t="s">
        <v>324</v>
      </c>
      <c r="C501" t="s">
        <v>210</v>
      </c>
      <c r="D501" t="s">
        <v>211</v>
      </c>
      <c r="E501" t="s">
        <v>818</v>
      </c>
      <c r="F501" t="s">
        <v>819</v>
      </c>
      <c r="G501" t="s">
        <v>874</v>
      </c>
      <c r="H501">
        <v>3138306</v>
      </c>
      <c r="I501" t="s">
        <v>214</v>
      </c>
      <c r="J501" s="14">
        <v>45859</v>
      </c>
      <c r="K501" t="s">
        <v>821</v>
      </c>
      <c r="L501" t="e">
        <f>VLOOKUP(H501,Sheet1!H:H,1,0)</f>
        <v>#N/A</v>
      </c>
    </row>
    <row r="502" spans="1:12">
      <c r="A502" t="s">
        <v>793</v>
      </c>
      <c r="B502" t="s">
        <v>324</v>
      </c>
      <c r="C502" t="s">
        <v>210</v>
      </c>
      <c r="D502" t="s">
        <v>211</v>
      </c>
      <c r="E502" t="s">
        <v>813</v>
      </c>
      <c r="F502" t="s">
        <v>814</v>
      </c>
      <c r="G502" t="s">
        <v>875</v>
      </c>
      <c r="H502">
        <v>3142206</v>
      </c>
      <c r="I502" t="s">
        <v>214</v>
      </c>
      <c r="J502" s="14">
        <v>45870</v>
      </c>
      <c r="K502" t="s">
        <v>816</v>
      </c>
      <c r="L502" t="e">
        <f>VLOOKUP(H502,Sheet1!H:H,1,0)</f>
        <v>#N/A</v>
      </c>
    </row>
    <row r="503" spans="1:12">
      <c r="A503" t="s">
        <v>793</v>
      </c>
      <c r="B503" t="s">
        <v>324</v>
      </c>
      <c r="C503" t="s">
        <v>210</v>
      </c>
      <c r="D503" t="s">
        <v>211</v>
      </c>
      <c r="E503" t="s">
        <v>809</v>
      </c>
      <c r="F503" t="s">
        <v>810</v>
      </c>
      <c r="G503" t="s">
        <v>876</v>
      </c>
      <c r="H503">
        <v>3166206</v>
      </c>
      <c r="I503" t="s">
        <v>214</v>
      </c>
      <c r="J503" s="14">
        <v>45946</v>
      </c>
      <c r="K503" t="s">
        <v>812</v>
      </c>
      <c r="L503" t="e">
        <f>VLOOKUP(H503,Sheet1!H:H,1,0)</f>
        <v>#N/A</v>
      </c>
    </row>
    <row r="504" spans="1:12">
      <c r="A504" t="s">
        <v>793</v>
      </c>
      <c r="B504" t="s">
        <v>286</v>
      </c>
      <c r="C504" t="s">
        <v>210</v>
      </c>
      <c r="D504" t="s">
        <v>287</v>
      </c>
      <c r="E504" t="s">
        <v>877</v>
      </c>
      <c r="F504" t="s">
        <v>878</v>
      </c>
      <c r="G504" t="s">
        <v>879</v>
      </c>
      <c r="H504">
        <v>3200406</v>
      </c>
      <c r="I504" t="s">
        <v>843</v>
      </c>
      <c r="J504" s="14">
        <v>45982</v>
      </c>
      <c r="K504" t="s">
        <v>880</v>
      </c>
      <c r="L504" t="e">
        <f>VLOOKUP(H504,Sheet1!H:H,1,0)</f>
        <v>#N/A</v>
      </c>
    </row>
    <row r="505" spans="1:12">
      <c r="A505" t="s">
        <v>793</v>
      </c>
      <c r="B505" t="s">
        <v>293</v>
      </c>
      <c r="C505" t="s">
        <v>210</v>
      </c>
      <c r="D505" t="s">
        <v>287</v>
      </c>
      <c r="E505" t="s">
        <v>830</v>
      </c>
      <c r="F505" t="s">
        <v>870</v>
      </c>
      <c r="G505" t="s">
        <v>881</v>
      </c>
      <c r="H505">
        <v>1957906</v>
      </c>
      <c r="I505" t="s">
        <v>292</v>
      </c>
      <c r="J505" s="14">
        <v>42953</v>
      </c>
      <c r="K505" t="s">
        <v>797</v>
      </c>
      <c r="L505" t="e">
        <f>VLOOKUP(H505,Sheet1!H:H,1,0)</f>
        <v>#N/A</v>
      </c>
    </row>
    <row r="506" spans="1:12">
      <c r="A506" t="s">
        <v>793</v>
      </c>
      <c r="B506" t="s">
        <v>324</v>
      </c>
      <c r="C506" t="s">
        <v>210</v>
      </c>
      <c r="D506" t="s">
        <v>211</v>
      </c>
      <c r="E506" t="s">
        <v>813</v>
      </c>
      <c r="F506" t="s">
        <v>814</v>
      </c>
      <c r="G506" t="s">
        <v>882</v>
      </c>
      <c r="H506">
        <v>3025506</v>
      </c>
      <c r="I506" t="s">
        <v>214</v>
      </c>
      <c r="J506" s="14">
        <v>45523</v>
      </c>
      <c r="K506" t="s">
        <v>816</v>
      </c>
      <c r="L506" t="e">
        <f>VLOOKUP(H506,Sheet1!H:H,1,0)</f>
        <v>#N/A</v>
      </c>
    </row>
    <row r="507" spans="1:12">
      <c r="A507" t="s">
        <v>793</v>
      </c>
      <c r="B507" t="s">
        <v>324</v>
      </c>
      <c r="C507" t="s">
        <v>210</v>
      </c>
      <c r="D507" t="s">
        <v>211</v>
      </c>
      <c r="E507" t="s">
        <v>809</v>
      </c>
      <c r="F507" t="s">
        <v>810</v>
      </c>
      <c r="G507" t="s">
        <v>883</v>
      </c>
      <c r="H507">
        <v>3074606</v>
      </c>
      <c r="I507" t="s">
        <v>424</v>
      </c>
      <c r="J507" s="14">
        <v>45600</v>
      </c>
      <c r="K507" t="s">
        <v>812</v>
      </c>
      <c r="L507" t="e">
        <f>VLOOKUP(H507,Sheet1!H:H,1,0)</f>
        <v>#N/A</v>
      </c>
    </row>
    <row r="508" spans="1:12">
      <c r="A508" t="s">
        <v>793</v>
      </c>
      <c r="B508" t="s">
        <v>324</v>
      </c>
      <c r="C508" t="s">
        <v>210</v>
      </c>
      <c r="D508" t="s">
        <v>211</v>
      </c>
      <c r="E508" t="s">
        <v>813</v>
      </c>
      <c r="F508" t="s">
        <v>814</v>
      </c>
      <c r="G508" t="s">
        <v>884</v>
      </c>
      <c r="H508">
        <v>3214806</v>
      </c>
      <c r="I508" t="s">
        <v>214</v>
      </c>
      <c r="J508" s="14">
        <v>45992</v>
      </c>
      <c r="K508" t="s">
        <v>816</v>
      </c>
      <c r="L508" t="e">
        <f>VLOOKUP(H508,Sheet1!H:H,1,0)</f>
        <v>#N/A</v>
      </c>
    </row>
    <row r="509" spans="1:12">
      <c r="A509" t="s">
        <v>793</v>
      </c>
      <c r="B509" t="s">
        <v>324</v>
      </c>
      <c r="C509" t="s">
        <v>210</v>
      </c>
      <c r="D509" t="s">
        <v>287</v>
      </c>
      <c r="E509" t="s">
        <v>864</v>
      </c>
      <c r="F509" t="s">
        <v>823</v>
      </c>
      <c r="G509" t="s">
        <v>885</v>
      </c>
      <c r="H509">
        <v>2990806</v>
      </c>
      <c r="I509" t="s">
        <v>475</v>
      </c>
      <c r="J509" s="14">
        <v>45328</v>
      </c>
      <c r="K509" t="s">
        <v>831</v>
      </c>
      <c r="L509" t="e">
        <f>VLOOKUP(H509,Sheet1!H:H,1,0)</f>
        <v>#N/A</v>
      </c>
    </row>
    <row r="510" spans="1:12">
      <c r="A510" t="s">
        <v>793</v>
      </c>
      <c r="B510" t="s">
        <v>324</v>
      </c>
      <c r="C510" t="s">
        <v>210</v>
      </c>
      <c r="D510" t="s">
        <v>287</v>
      </c>
      <c r="E510" t="s">
        <v>864</v>
      </c>
      <c r="F510" t="s">
        <v>823</v>
      </c>
      <c r="G510" t="s">
        <v>886</v>
      </c>
      <c r="H510">
        <v>2278706</v>
      </c>
      <c r="I510" t="s">
        <v>299</v>
      </c>
      <c r="J510" s="14">
        <v>42615</v>
      </c>
      <c r="K510" t="s">
        <v>831</v>
      </c>
      <c r="L510" t="e">
        <f>VLOOKUP(H510,Sheet1!H:H,1,0)</f>
        <v>#N/A</v>
      </c>
    </row>
    <row r="511" spans="1:12">
      <c r="A511" t="s">
        <v>793</v>
      </c>
      <c r="B511" t="s">
        <v>324</v>
      </c>
      <c r="C511" t="s">
        <v>210</v>
      </c>
      <c r="D511" t="s">
        <v>287</v>
      </c>
      <c r="E511" t="s">
        <v>822</v>
      </c>
      <c r="F511" t="s">
        <v>823</v>
      </c>
      <c r="G511" t="s">
        <v>887</v>
      </c>
      <c r="H511">
        <v>3011006</v>
      </c>
      <c r="I511" t="s">
        <v>843</v>
      </c>
      <c r="J511" s="14">
        <v>45432</v>
      </c>
      <c r="K511" t="s">
        <v>825</v>
      </c>
      <c r="L511" t="e">
        <f>VLOOKUP(H511,Sheet1!H:H,1,0)</f>
        <v>#N/A</v>
      </c>
    </row>
    <row r="512" spans="1:12">
      <c r="A512" t="s">
        <v>793</v>
      </c>
      <c r="B512" t="s">
        <v>324</v>
      </c>
      <c r="C512" t="s">
        <v>210</v>
      </c>
      <c r="D512" t="s">
        <v>211</v>
      </c>
      <c r="E512" t="s">
        <v>809</v>
      </c>
      <c r="F512" t="s">
        <v>823</v>
      </c>
      <c r="G512" t="s">
        <v>888</v>
      </c>
      <c r="H512">
        <v>3053706</v>
      </c>
      <c r="I512" t="s">
        <v>220</v>
      </c>
      <c r="J512" s="14">
        <v>45581</v>
      </c>
      <c r="K512" t="s">
        <v>812</v>
      </c>
      <c r="L512" t="e">
        <f>VLOOKUP(H512,Sheet1!H:H,1,0)</f>
        <v>#N/A</v>
      </c>
    </row>
    <row r="513" spans="1:12">
      <c r="A513" t="s">
        <v>793</v>
      </c>
      <c r="B513" t="s">
        <v>324</v>
      </c>
      <c r="C513" t="s">
        <v>210</v>
      </c>
      <c r="D513" t="s">
        <v>211</v>
      </c>
      <c r="E513" t="s">
        <v>813</v>
      </c>
      <c r="F513" t="s">
        <v>814</v>
      </c>
      <c r="G513" t="s">
        <v>889</v>
      </c>
      <c r="H513">
        <v>3104706</v>
      </c>
      <c r="I513" t="s">
        <v>214</v>
      </c>
      <c r="J513" s="14">
        <v>45618</v>
      </c>
      <c r="K513" t="s">
        <v>816</v>
      </c>
      <c r="L513" t="e">
        <f>VLOOKUP(H513,Sheet1!H:H,1,0)</f>
        <v>#N/A</v>
      </c>
    </row>
    <row r="514" spans="1:12">
      <c r="A514" t="s">
        <v>793</v>
      </c>
      <c r="B514" t="s">
        <v>324</v>
      </c>
      <c r="C514" t="s">
        <v>210</v>
      </c>
      <c r="D514" t="s">
        <v>211</v>
      </c>
      <c r="E514" t="s">
        <v>809</v>
      </c>
      <c r="F514" t="s">
        <v>810</v>
      </c>
      <c r="G514" t="s">
        <v>812</v>
      </c>
      <c r="H514">
        <v>2057106</v>
      </c>
      <c r="I514" t="s">
        <v>890</v>
      </c>
      <c r="J514" s="14">
        <v>41960</v>
      </c>
      <c r="K514" t="s">
        <v>812</v>
      </c>
      <c r="L514" t="e">
        <f>VLOOKUP(H514,Sheet1!H:H,1,0)</f>
        <v>#N/A</v>
      </c>
    </row>
    <row r="515" spans="1:12">
      <c r="A515" t="s">
        <v>793</v>
      </c>
      <c r="B515" t="s">
        <v>324</v>
      </c>
      <c r="C515" t="s">
        <v>210</v>
      </c>
      <c r="D515" t="s">
        <v>211</v>
      </c>
      <c r="E515" t="s">
        <v>813</v>
      </c>
      <c r="F515" t="s">
        <v>814</v>
      </c>
      <c r="G515" t="s">
        <v>891</v>
      </c>
      <c r="H515">
        <v>2395606</v>
      </c>
      <c r="I515" t="s">
        <v>507</v>
      </c>
      <c r="J515" s="14">
        <v>42871</v>
      </c>
      <c r="K515" t="s">
        <v>816</v>
      </c>
      <c r="L515" t="e">
        <f>VLOOKUP(H515,Sheet1!H:H,1,0)</f>
        <v>#N/A</v>
      </c>
    </row>
    <row r="516" spans="1:12">
      <c r="A516" t="s">
        <v>793</v>
      </c>
      <c r="B516" t="s">
        <v>324</v>
      </c>
      <c r="C516" t="s">
        <v>210</v>
      </c>
      <c r="D516" t="s">
        <v>211</v>
      </c>
      <c r="E516" t="s">
        <v>818</v>
      </c>
      <c r="F516" t="s">
        <v>819</v>
      </c>
      <c r="G516" t="s">
        <v>892</v>
      </c>
      <c r="H516">
        <v>3215306</v>
      </c>
      <c r="I516" t="s">
        <v>214</v>
      </c>
      <c r="J516" s="14">
        <v>45992</v>
      </c>
      <c r="K516" t="s">
        <v>821</v>
      </c>
      <c r="L516" t="e">
        <f>VLOOKUP(H516,Sheet1!H:H,1,0)</f>
        <v>#N/A</v>
      </c>
    </row>
    <row r="517" spans="1:12">
      <c r="A517" t="s">
        <v>793</v>
      </c>
      <c r="B517" t="s">
        <v>324</v>
      </c>
      <c r="C517" t="s">
        <v>210</v>
      </c>
      <c r="D517" t="s">
        <v>211</v>
      </c>
      <c r="E517" t="s">
        <v>818</v>
      </c>
      <c r="F517" t="s">
        <v>819</v>
      </c>
      <c r="G517" t="s">
        <v>893</v>
      </c>
      <c r="H517">
        <v>2862906</v>
      </c>
      <c r="I517" t="s">
        <v>690</v>
      </c>
      <c r="J517" s="14">
        <v>44958</v>
      </c>
      <c r="K517" t="s">
        <v>821</v>
      </c>
      <c r="L517" t="e">
        <f>VLOOKUP(H517,Sheet1!H:H,1,0)</f>
        <v>#N/A</v>
      </c>
    </row>
    <row r="518" spans="1:12">
      <c r="A518" t="s">
        <v>793</v>
      </c>
      <c r="B518" t="s">
        <v>324</v>
      </c>
      <c r="C518" t="s">
        <v>429</v>
      </c>
      <c r="D518" t="s">
        <v>211</v>
      </c>
      <c r="E518" t="s">
        <v>818</v>
      </c>
      <c r="F518" t="s">
        <v>819</v>
      </c>
      <c r="G518" t="s">
        <v>894</v>
      </c>
      <c r="H518">
        <v>3130306</v>
      </c>
      <c r="I518" t="s">
        <v>220</v>
      </c>
      <c r="J518" s="14">
        <v>45831</v>
      </c>
      <c r="K518" t="s">
        <v>821</v>
      </c>
      <c r="L518" t="e">
        <f>VLOOKUP(H518,Sheet1!H:H,1,0)</f>
        <v>#N/A</v>
      </c>
    </row>
    <row r="519" spans="1:12">
      <c r="A519" t="s">
        <v>793</v>
      </c>
      <c r="B519" t="s">
        <v>324</v>
      </c>
      <c r="C519" t="s">
        <v>210</v>
      </c>
      <c r="D519" t="s">
        <v>211</v>
      </c>
      <c r="E519" t="s">
        <v>809</v>
      </c>
      <c r="F519" t="s">
        <v>810</v>
      </c>
      <c r="G519" t="s">
        <v>895</v>
      </c>
      <c r="H519">
        <v>3029106</v>
      </c>
      <c r="I519" t="s">
        <v>214</v>
      </c>
      <c r="J519" s="14">
        <v>45537</v>
      </c>
      <c r="K519" t="s">
        <v>812</v>
      </c>
      <c r="L519" t="e">
        <f>VLOOKUP(H519,Sheet1!H:H,1,0)</f>
        <v>#N/A</v>
      </c>
    </row>
    <row r="520" spans="1:12">
      <c r="A520" t="s">
        <v>793</v>
      </c>
      <c r="B520" t="s">
        <v>324</v>
      </c>
      <c r="C520" t="s">
        <v>210</v>
      </c>
      <c r="D520" t="s">
        <v>211</v>
      </c>
      <c r="E520" t="s">
        <v>813</v>
      </c>
      <c r="F520" t="s">
        <v>814</v>
      </c>
      <c r="G520" t="s">
        <v>896</v>
      </c>
      <c r="H520">
        <v>3125606</v>
      </c>
      <c r="I520" t="s">
        <v>214</v>
      </c>
      <c r="J520" s="14">
        <v>45800</v>
      </c>
      <c r="K520" t="s">
        <v>816</v>
      </c>
      <c r="L520" t="e">
        <f>VLOOKUP(H520,Sheet1!H:H,1,0)</f>
        <v>#N/A</v>
      </c>
    </row>
    <row r="521" spans="1:12">
      <c r="A521" t="s">
        <v>793</v>
      </c>
      <c r="B521" t="s">
        <v>324</v>
      </c>
      <c r="C521" t="s">
        <v>210</v>
      </c>
      <c r="D521" t="s">
        <v>211</v>
      </c>
      <c r="E521" t="s">
        <v>813</v>
      </c>
      <c r="F521" t="s">
        <v>814</v>
      </c>
      <c r="G521" t="s">
        <v>897</v>
      </c>
      <c r="H521">
        <v>2818406</v>
      </c>
      <c r="I521" t="s">
        <v>214</v>
      </c>
      <c r="J521" s="14">
        <v>44728</v>
      </c>
      <c r="K521" t="s">
        <v>816</v>
      </c>
      <c r="L521" t="e">
        <f>VLOOKUP(H521,Sheet1!H:H,1,0)</f>
        <v>#N/A</v>
      </c>
    </row>
    <row r="522" spans="1:12">
      <c r="A522" t="s">
        <v>793</v>
      </c>
      <c r="B522" t="s">
        <v>324</v>
      </c>
      <c r="C522" t="s">
        <v>210</v>
      </c>
      <c r="D522" t="s">
        <v>211</v>
      </c>
      <c r="E522" t="s">
        <v>813</v>
      </c>
      <c r="F522" t="s">
        <v>814</v>
      </c>
      <c r="G522" t="s">
        <v>898</v>
      </c>
      <c r="H522">
        <v>3232006</v>
      </c>
      <c r="I522" t="s">
        <v>214</v>
      </c>
      <c r="J522" s="14">
        <v>46069</v>
      </c>
      <c r="K522" t="s">
        <v>816</v>
      </c>
      <c r="L522" t="e">
        <f>VLOOKUP(H522,Sheet1!H:H,1,0)</f>
        <v>#N/A</v>
      </c>
    </row>
    <row r="523" spans="1:12">
      <c r="A523" t="s">
        <v>793</v>
      </c>
      <c r="B523" t="s">
        <v>324</v>
      </c>
      <c r="C523" t="s">
        <v>210</v>
      </c>
      <c r="D523" t="s">
        <v>211</v>
      </c>
      <c r="E523" t="s">
        <v>809</v>
      </c>
      <c r="F523" t="s">
        <v>810</v>
      </c>
      <c r="G523" t="s">
        <v>899</v>
      </c>
      <c r="H523">
        <v>3218806</v>
      </c>
      <c r="I523" t="s">
        <v>220</v>
      </c>
      <c r="J523" s="14">
        <v>46009</v>
      </c>
      <c r="K523" t="s">
        <v>812</v>
      </c>
      <c r="L523" t="e">
        <f>VLOOKUP(H523,Sheet1!H:H,1,0)</f>
        <v>#N/A</v>
      </c>
    </row>
    <row r="524" spans="1:12">
      <c r="A524" t="s">
        <v>793</v>
      </c>
      <c r="B524" t="s">
        <v>324</v>
      </c>
      <c r="C524" t="s">
        <v>210</v>
      </c>
      <c r="D524" t="s">
        <v>211</v>
      </c>
      <c r="E524" t="s">
        <v>809</v>
      </c>
      <c r="F524" t="s">
        <v>810</v>
      </c>
      <c r="G524" t="s">
        <v>900</v>
      </c>
      <c r="H524">
        <v>3151206</v>
      </c>
      <c r="I524" t="s">
        <v>214</v>
      </c>
      <c r="J524" s="14">
        <v>45916</v>
      </c>
      <c r="K524" t="s">
        <v>812</v>
      </c>
      <c r="L524" t="e">
        <f>VLOOKUP(H524,Sheet1!H:H,1,0)</f>
        <v>#N/A</v>
      </c>
    </row>
    <row r="525" spans="1:12">
      <c r="A525" t="s">
        <v>793</v>
      </c>
      <c r="B525" t="s">
        <v>324</v>
      </c>
      <c r="C525" t="s">
        <v>210</v>
      </c>
      <c r="D525" t="s">
        <v>211</v>
      </c>
      <c r="E525" t="s">
        <v>809</v>
      </c>
      <c r="F525" t="s">
        <v>810</v>
      </c>
      <c r="G525" t="s">
        <v>901</v>
      </c>
      <c r="H525">
        <v>3217206</v>
      </c>
      <c r="I525" t="s">
        <v>214</v>
      </c>
      <c r="J525" s="14">
        <v>46097</v>
      </c>
      <c r="K525" t="s">
        <v>812</v>
      </c>
      <c r="L525" t="e">
        <f>VLOOKUP(H525,Sheet1!H:H,1,0)</f>
        <v>#N/A</v>
      </c>
    </row>
    <row r="526" spans="1:12">
      <c r="A526" t="s">
        <v>793</v>
      </c>
      <c r="B526" t="s">
        <v>324</v>
      </c>
      <c r="C526" t="s">
        <v>210</v>
      </c>
      <c r="D526" t="s">
        <v>211</v>
      </c>
      <c r="E526" t="s">
        <v>818</v>
      </c>
      <c r="F526" t="s">
        <v>819</v>
      </c>
      <c r="G526" t="s">
        <v>902</v>
      </c>
      <c r="H526">
        <v>3130706</v>
      </c>
      <c r="I526" t="s">
        <v>214</v>
      </c>
      <c r="J526" s="14">
        <v>45831</v>
      </c>
      <c r="K526" t="s">
        <v>821</v>
      </c>
      <c r="L526" t="e">
        <f>VLOOKUP(H526,Sheet1!H:H,1,0)</f>
        <v>#N/A</v>
      </c>
    </row>
    <row r="527" spans="1:12">
      <c r="A527" t="s">
        <v>793</v>
      </c>
      <c r="B527" t="s">
        <v>324</v>
      </c>
      <c r="C527" t="s">
        <v>210</v>
      </c>
      <c r="D527" t="s">
        <v>211</v>
      </c>
      <c r="E527" t="s">
        <v>818</v>
      </c>
      <c r="F527" t="s">
        <v>819</v>
      </c>
      <c r="G527" t="s">
        <v>903</v>
      </c>
      <c r="H527">
        <v>3082806</v>
      </c>
      <c r="I527" t="s">
        <v>214</v>
      </c>
      <c r="J527" s="14">
        <v>45614</v>
      </c>
      <c r="K527" t="s">
        <v>821</v>
      </c>
      <c r="L527" t="e">
        <f>VLOOKUP(H527,Sheet1!H:H,1,0)</f>
        <v>#N/A</v>
      </c>
    </row>
    <row r="528" spans="1:12">
      <c r="A528" t="s">
        <v>793</v>
      </c>
      <c r="B528" t="s">
        <v>324</v>
      </c>
      <c r="C528" t="s">
        <v>210</v>
      </c>
      <c r="D528" t="s">
        <v>211</v>
      </c>
      <c r="E528" t="s">
        <v>818</v>
      </c>
      <c r="F528" t="s">
        <v>819</v>
      </c>
      <c r="G528" t="s">
        <v>904</v>
      </c>
      <c r="H528">
        <v>2638306</v>
      </c>
      <c r="I528" t="s">
        <v>905</v>
      </c>
      <c r="J528" s="14">
        <v>44363</v>
      </c>
      <c r="K528" t="s">
        <v>821</v>
      </c>
      <c r="L528" t="e">
        <f>VLOOKUP(H528,Sheet1!H:H,1,0)</f>
        <v>#N/A</v>
      </c>
    </row>
    <row r="529" spans="1:12">
      <c r="A529" t="s">
        <v>793</v>
      </c>
      <c r="B529" t="s">
        <v>324</v>
      </c>
      <c r="C529" t="s">
        <v>210</v>
      </c>
      <c r="D529" t="s">
        <v>211</v>
      </c>
      <c r="E529" t="s">
        <v>813</v>
      </c>
      <c r="F529" t="s">
        <v>814</v>
      </c>
      <c r="G529" t="s">
        <v>906</v>
      </c>
      <c r="H529">
        <v>3124706</v>
      </c>
      <c r="I529" t="s">
        <v>214</v>
      </c>
      <c r="J529" s="14">
        <v>45793</v>
      </c>
      <c r="K529" t="s">
        <v>816</v>
      </c>
      <c r="L529" t="e">
        <f>VLOOKUP(H529,Sheet1!H:H,1,0)</f>
        <v>#N/A</v>
      </c>
    </row>
    <row r="530" spans="1:12">
      <c r="A530" t="s">
        <v>793</v>
      </c>
      <c r="B530" t="s">
        <v>324</v>
      </c>
      <c r="C530" t="s">
        <v>210</v>
      </c>
      <c r="D530" t="s">
        <v>211</v>
      </c>
      <c r="E530" t="s">
        <v>809</v>
      </c>
      <c r="F530" t="s">
        <v>810</v>
      </c>
      <c r="G530" t="s">
        <v>907</v>
      </c>
      <c r="H530">
        <v>2308906</v>
      </c>
      <c r="I530" t="s">
        <v>617</v>
      </c>
      <c r="J530" s="14">
        <v>42625</v>
      </c>
      <c r="K530" t="s">
        <v>812</v>
      </c>
      <c r="L530" t="e">
        <f>VLOOKUP(H530,Sheet1!H:H,1,0)</f>
        <v>#N/A</v>
      </c>
    </row>
    <row r="531" spans="1:12">
      <c r="A531" t="s">
        <v>793</v>
      </c>
      <c r="B531" t="s">
        <v>209</v>
      </c>
      <c r="C531" t="s">
        <v>210</v>
      </c>
      <c r="D531" t="s">
        <v>287</v>
      </c>
      <c r="E531" t="s">
        <v>908</v>
      </c>
      <c r="F531" t="s">
        <v>854</v>
      </c>
      <c r="G531" t="s">
        <v>909</v>
      </c>
      <c r="H531">
        <v>3148806</v>
      </c>
      <c r="I531" t="s">
        <v>297</v>
      </c>
      <c r="J531" s="14">
        <v>45901</v>
      </c>
      <c r="K531" t="s">
        <v>868</v>
      </c>
      <c r="L531" t="e">
        <f>VLOOKUP(H531,Sheet1!H:H,1,0)</f>
        <v>#N/A</v>
      </c>
    </row>
    <row r="532" spans="1:12">
      <c r="A532" t="s">
        <v>793</v>
      </c>
      <c r="B532" t="s">
        <v>324</v>
      </c>
      <c r="C532" t="s">
        <v>210</v>
      </c>
      <c r="D532" t="s">
        <v>211</v>
      </c>
      <c r="E532" t="s">
        <v>813</v>
      </c>
      <c r="F532" t="s">
        <v>814</v>
      </c>
      <c r="G532" t="s">
        <v>910</v>
      </c>
      <c r="H532">
        <v>3191206</v>
      </c>
      <c r="I532" t="s">
        <v>214</v>
      </c>
      <c r="J532" s="14">
        <v>45978</v>
      </c>
      <c r="K532" t="s">
        <v>816</v>
      </c>
      <c r="L532" t="e">
        <f>VLOOKUP(H532,Sheet1!H:H,1,0)</f>
        <v>#N/A</v>
      </c>
    </row>
    <row r="533" spans="1:12">
      <c r="A533" t="s">
        <v>793</v>
      </c>
      <c r="B533" t="s">
        <v>324</v>
      </c>
      <c r="C533" t="s">
        <v>210</v>
      </c>
      <c r="D533" t="s">
        <v>211</v>
      </c>
      <c r="E533" t="s">
        <v>818</v>
      </c>
      <c r="F533" t="s">
        <v>819</v>
      </c>
      <c r="G533" t="s">
        <v>911</v>
      </c>
      <c r="H533">
        <v>3127606</v>
      </c>
      <c r="I533" t="s">
        <v>422</v>
      </c>
      <c r="J533" s="14">
        <v>45810</v>
      </c>
      <c r="K533" t="s">
        <v>821</v>
      </c>
      <c r="L533" t="e">
        <f>VLOOKUP(H533,Sheet1!H:H,1,0)</f>
        <v>#N/A</v>
      </c>
    </row>
    <row r="534" spans="1:12">
      <c r="A534" t="s">
        <v>793</v>
      </c>
      <c r="B534" t="s">
        <v>324</v>
      </c>
      <c r="C534" t="s">
        <v>210</v>
      </c>
      <c r="D534" t="s">
        <v>211</v>
      </c>
      <c r="E534" t="s">
        <v>818</v>
      </c>
      <c r="F534" t="s">
        <v>819</v>
      </c>
      <c r="G534" t="s">
        <v>912</v>
      </c>
      <c r="H534">
        <v>2955806</v>
      </c>
      <c r="I534" t="s">
        <v>214</v>
      </c>
      <c r="J534" s="14">
        <v>45232</v>
      </c>
      <c r="K534" t="s">
        <v>821</v>
      </c>
      <c r="L534" t="e">
        <f>VLOOKUP(H534,Sheet1!H:H,1,0)</f>
        <v>#N/A</v>
      </c>
    </row>
    <row r="535" spans="1:12">
      <c r="A535" t="s">
        <v>793</v>
      </c>
      <c r="B535" t="s">
        <v>324</v>
      </c>
      <c r="C535" t="s">
        <v>210</v>
      </c>
      <c r="D535" t="s">
        <v>211</v>
      </c>
      <c r="E535" t="s">
        <v>813</v>
      </c>
      <c r="F535" t="s">
        <v>814</v>
      </c>
      <c r="G535" t="s">
        <v>913</v>
      </c>
      <c r="H535">
        <v>2883006</v>
      </c>
      <c r="I535" t="s">
        <v>214</v>
      </c>
      <c r="J535" s="14">
        <v>45078</v>
      </c>
      <c r="K535" t="s">
        <v>816</v>
      </c>
      <c r="L535" t="e">
        <f>VLOOKUP(H535,Sheet1!H:H,1,0)</f>
        <v>#N/A</v>
      </c>
    </row>
    <row r="536" spans="1:12">
      <c r="A536" t="s">
        <v>793</v>
      </c>
      <c r="B536" t="s">
        <v>324</v>
      </c>
      <c r="C536" t="s">
        <v>210</v>
      </c>
      <c r="D536" t="s">
        <v>211</v>
      </c>
      <c r="E536" t="s">
        <v>809</v>
      </c>
      <c r="F536" t="s">
        <v>810</v>
      </c>
      <c r="G536" t="s">
        <v>914</v>
      </c>
      <c r="H536">
        <v>3148706</v>
      </c>
      <c r="I536" t="s">
        <v>220</v>
      </c>
      <c r="J536" s="14">
        <v>45901</v>
      </c>
      <c r="K536" t="s">
        <v>812</v>
      </c>
      <c r="L536" t="e">
        <f>VLOOKUP(H536,Sheet1!H:H,1,0)</f>
        <v>#N/A</v>
      </c>
    </row>
    <row r="537" spans="1:12">
      <c r="A537" t="s">
        <v>793</v>
      </c>
      <c r="B537" t="s">
        <v>324</v>
      </c>
      <c r="C537" t="s">
        <v>210</v>
      </c>
      <c r="D537" t="s">
        <v>211</v>
      </c>
      <c r="E537" t="s">
        <v>813</v>
      </c>
      <c r="F537" t="s">
        <v>814</v>
      </c>
      <c r="G537" t="s">
        <v>915</v>
      </c>
      <c r="H537">
        <v>3007806</v>
      </c>
      <c r="I537" t="s">
        <v>214</v>
      </c>
      <c r="J537" s="14">
        <v>45414</v>
      </c>
      <c r="K537" t="s">
        <v>816</v>
      </c>
      <c r="L537" t="e">
        <f>VLOOKUP(H537,Sheet1!H:H,1,0)</f>
        <v>#N/A</v>
      </c>
    </row>
    <row r="538" spans="1:12">
      <c r="A538" t="s">
        <v>793</v>
      </c>
      <c r="B538" t="s">
        <v>324</v>
      </c>
      <c r="C538" t="s">
        <v>210</v>
      </c>
      <c r="D538" t="s">
        <v>211</v>
      </c>
      <c r="E538" t="s">
        <v>818</v>
      </c>
      <c r="F538" t="s">
        <v>819</v>
      </c>
      <c r="G538" t="s">
        <v>916</v>
      </c>
      <c r="H538">
        <v>3076006</v>
      </c>
      <c r="I538" t="s">
        <v>422</v>
      </c>
      <c r="J538" s="14">
        <v>45600</v>
      </c>
      <c r="K538" t="s">
        <v>821</v>
      </c>
      <c r="L538" t="e">
        <f>VLOOKUP(H538,Sheet1!H:H,1,0)</f>
        <v>#N/A</v>
      </c>
    </row>
    <row r="539" spans="1:12">
      <c r="A539" t="s">
        <v>793</v>
      </c>
      <c r="B539" t="s">
        <v>324</v>
      </c>
      <c r="C539" t="s">
        <v>210</v>
      </c>
      <c r="D539" t="s">
        <v>211</v>
      </c>
      <c r="E539" t="s">
        <v>809</v>
      </c>
      <c r="F539" t="s">
        <v>823</v>
      </c>
      <c r="G539" t="s">
        <v>917</v>
      </c>
      <c r="H539">
        <v>2893606</v>
      </c>
      <c r="I539" t="s">
        <v>214</v>
      </c>
      <c r="J539" s="14">
        <v>44942</v>
      </c>
      <c r="K539" t="s">
        <v>812</v>
      </c>
      <c r="L539" t="e">
        <f>VLOOKUP(H539,Sheet1!H:H,1,0)</f>
        <v>#N/A</v>
      </c>
    </row>
    <row r="540" spans="1:12">
      <c r="A540" t="s">
        <v>793</v>
      </c>
      <c r="B540" t="s">
        <v>324</v>
      </c>
      <c r="C540" t="s">
        <v>210</v>
      </c>
      <c r="D540" t="s">
        <v>211</v>
      </c>
      <c r="E540" t="s">
        <v>809</v>
      </c>
      <c r="F540" t="s">
        <v>810</v>
      </c>
      <c r="G540" t="s">
        <v>918</v>
      </c>
      <c r="H540">
        <v>2878206</v>
      </c>
      <c r="I540" t="s">
        <v>214</v>
      </c>
      <c r="J540" s="14">
        <v>44883</v>
      </c>
      <c r="K540" t="s">
        <v>812</v>
      </c>
      <c r="L540" t="e">
        <f>VLOOKUP(H540,Sheet1!H:H,1,0)</f>
        <v>#N/A</v>
      </c>
    </row>
    <row r="541" spans="1:12">
      <c r="A541" t="s">
        <v>793</v>
      </c>
      <c r="B541" t="s">
        <v>324</v>
      </c>
      <c r="C541" t="s">
        <v>210</v>
      </c>
      <c r="D541" t="s">
        <v>287</v>
      </c>
      <c r="E541" t="s">
        <v>794</v>
      </c>
      <c r="F541" t="s">
        <v>823</v>
      </c>
      <c r="G541" t="s">
        <v>919</v>
      </c>
      <c r="H541">
        <v>3020106</v>
      </c>
      <c r="I541" t="s">
        <v>318</v>
      </c>
      <c r="J541" s="14">
        <v>45489</v>
      </c>
      <c r="K541" t="s">
        <v>797</v>
      </c>
      <c r="L541" t="e">
        <f>VLOOKUP(H541,Sheet1!H:H,1,0)</f>
        <v>#N/A</v>
      </c>
    </row>
    <row r="542" spans="1:12">
      <c r="A542" t="s">
        <v>793</v>
      </c>
      <c r="B542" t="s">
        <v>324</v>
      </c>
      <c r="C542" t="s">
        <v>210</v>
      </c>
      <c r="D542" t="s">
        <v>211</v>
      </c>
      <c r="E542" t="s">
        <v>809</v>
      </c>
      <c r="F542" t="s">
        <v>810</v>
      </c>
      <c r="G542" t="s">
        <v>920</v>
      </c>
      <c r="H542">
        <v>3075606</v>
      </c>
      <c r="I542" t="s">
        <v>220</v>
      </c>
      <c r="J542" s="14">
        <v>45603</v>
      </c>
      <c r="K542" t="s">
        <v>812</v>
      </c>
      <c r="L542" t="e">
        <f>VLOOKUP(H542,Sheet1!H:H,1,0)</f>
        <v>#N/A</v>
      </c>
    </row>
    <row r="543" spans="1:12">
      <c r="A543" t="s">
        <v>793</v>
      </c>
      <c r="B543" t="s">
        <v>324</v>
      </c>
      <c r="C543" t="s">
        <v>210</v>
      </c>
      <c r="D543" t="s">
        <v>211</v>
      </c>
      <c r="E543" t="s">
        <v>818</v>
      </c>
      <c r="F543" t="s">
        <v>814</v>
      </c>
      <c r="G543" t="s">
        <v>921</v>
      </c>
      <c r="H543">
        <v>3215706</v>
      </c>
      <c r="I543" t="s">
        <v>214</v>
      </c>
      <c r="J543" s="14">
        <v>45992</v>
      </c>
      <c r="K543" t="s">
        <v>821</v>
      </c>
      <c r="L543" t="e">
        <f>VLOOKUP(H543,Sheet1!H:H,1,0)</f>
        <v>#N/A</v>
      </c>
    </row>
    <row r="544" spans="1:12">
      <c r="A544" t="s">
        <v>793</v>
      </c>
      <c r="B544" t="s">
        <v>324</v>
      </c>
      <c r="C544" t="s">
        <v>210</v>
      </c>
      <c r="D544" t="s">
        <v>211</v>
      </c>
      <c r="E544" t="s">
        <v>813</v>
      </c>
      <c r="F544" t="s">
        <v>814</v>
      </c>
      <c r="G544" t="s">
        <v>922</v>
      </c>
      <c r="H544">
        <v>2641506</v>
      </c>
      <c r="I544" t="s">
        <v>507</v>
      </c>
      <c r="J544" s="14">
        <v>44137</v>
      </c>
      <c r="K544" t="s">
        <v>816</v>
      </c>
      <c r="L544" t="e">
        <f>VLOOKUP(H544,Sheet1!H:H,1,0)</f>
        <v>#N/A</v>
      </c>
    </row>
    <row r="545" spans="1:12">
      <c r="A545" t="s">
        <v>793</v>
      </c>
      <c r="B545" t="s">
        <v>324</v>
      </c>
      <c r="C545" t="s">
        <v>210</v>
      </c>
      <c r="D545" t="s">
        <v>211</v>
      </c>
      <c r="E545" t="s">
        <v>818</v>
      </c>
      <c r="F545" t="s">
        <v>819</v>
      </c>
      <c r="G545" t="s">
        <v>923</v>
      </c>
      <c r="H545">
        <v>3193606</v>
      </c>
      <c r="I545" t="s">
        <v>214</v>
      </c>
      <c r="J545" s="14">
        <v>45978</v>
      </c>
      <c r="K545" t="s">
        <v>821</v>
      </c>
      <c r="L545" t="e">
        <f>VLOOKUP(H545,Sheet1!H:H,1,0)</f>
        <v>#N/A</v>
      </c>
    </row>
    <row r="546" spans="1:12">
      <c r="A546" t="s">
        <v>793</v>
      </c>
      <c r="B546" t="s">
        <v>324</v>
      </c>
      <c r="C546" t="s">
        <v>210</v>
      </c>
      <c r="D546" t="s">
        <v>211</v>
      </c>
      <c r="E546" t="s">
        <v>809</v>
      </c>
      <c r="F546" t="s">
        <v>810</v>
      </c>
      <c r="G546" t="s">
        <v>924</v>
      </c>
      <c r="H546">
        <v>3145606</v>
      </c>
      <c r="I546" t="s">
        <v>214</v>
      </c>
      <c r="J546" s="14">
        <v>45887</v>
      </c>
      <c r="K546" t="s">
        <v>812</v>
      </c>
      <c r="L546" t="e">
        <f>VLOOKUP(H546,Sheet1!H:H,1,0)</f>
        <v>#N/A</v>
      </c>
    </row>
    <row r="547" spans="1:12">
      <c r="A547" t="s">
        <v>793</v>
      </c>
      <c r="B547" t="s">
        <v>324</v>
      </c>
      <c r="C547" t="s">
        <v>210</v>
      </c>
      <c r="D547" t="s">
        <v>211</v>
      </c>
      <c r="E547" t="s">
        <v>813</v>
      </c>
      <c r="F547" t="s">
        <v>814</v>
      </c>
      <c r="G547" t="s">
        <v>925</v>
      </c>
      <c r="H547">
        <v>3237506</v>
      </c>
      <c r="I547" t="s">
        <v>214</v>
      </c>
      <c r="J547" s="14">
        <v>46097</v>
      </c>
      <c r="K547" t="s">
        <v>816</v>
      </c>
      <c r="L547" t="e">
        <f>VLOOKUP(H547,Sheet1!H:H,1,0)</f>
        <v>#N/A</v>
      </c>
    </row>
    <row r="548" spans="1:12">
      <c r="A548" t="s">
        <v>793</v>
      </c>
      <c r="B548" t="s">
        <v>324</v>
      </c>
      <c r="C548" t="s">
        <v>210</v>
      </c>
      <c r="D548" t="s">
        <v>211</v>
      </c>
      <c r="E548" t="s">
        <v>809</v>
      </c>
      <c r="F548" t="s">
        <v>810</v>
      </c>
      <c r="G548" t="s">
        <v>926</v>
      </c>
      <c r="H548">
        <v>2820206</v>
      </c>
      <c r="I548" t="s">
        <v>424</v>
      </c>
      <c r="J548" s="14">
        <v>44728</v>
      </c>
      <c r="K548" t="s">
        <v>812</v>
      </c>
      <c r="L548" t="e">
        <f>VLOOKUP(H548,Sheet1!H:H,1,0)</f>
        <v>#N/A</v>
      </c>
    </row>
    <row r="549" spans="1:12">
      <c r="A549" t="s">
        <v>793</v>
      </c>
      <c r="B549" t="s">
        <v>324</v>
      </c>
      <c r="C549" t="s">
        <v>429</v>
      </c>
      <c r="D549" t="s">
        <v>211</v>
      </c>
      <c r="E549" t="s">
        <v>809</v>
      </c>
      <c r="F549" t="s">
        <v>810</v>
      </c>
      <c r="G549" t="s">
        <v>927</v>
      </c>
      <c r="H549">
        <v>2921706</v>
      </c>
      <c r="I549" t="s">
        <v>220</v>
      </c>
      <c r="J549" s="14">
        <v>45093</v>
      </c>
      <c r="K549" t="s">
        <v>812</v>
      </c>
      <c r="L549" t="e">
        <f>VLOOKUP(H549,Sheet1!H:H,1,0)</f>
        <v>#N/A</v>
      </c>
    </row>
    <row r="550" spans="1:12">
      <c r="A550" t="s">
        <v>793</v>
      </c>
      <c r="B550" t="s">
        <v>324</v>
      </c>
      <c r="C550" t="s">
        <v>210</v>
      </c>
      <c r="D550" t="s">
        <v>211</v>
      </c>
      <c r="E550" t="s">
        <v>813</v>
      </c>
      <c r="F550" t="s">
        <v>814</v>
      </c>
      <c r="G550" t="s">
        <v>928</v>
      </c>
      <c r="H550">
        <v>3041106</v>
      </c>
      <c r="I550" t="s">
        <v>214</v>
      </c>
      <c r="J550" s="14">
        <v>45563</v>
      </c>
      <c r="K550" t="s">
        <v>816</v>
      </c>
      <c r="L550" t="e">
        <f>VLOOKUP(H550,Sheet1!H:H,1,0)</f>
        <v>#N/A</v>
      </c>
    </row>
    <row r="551" spans="1:12">
      <c r="A551" t="s">
        <v>793</v>
      </c>
      <c r="B551" t="s">
        <v>324</v>
      </c>
      <c r="C551" t="s">
        <v>210</v>
      </c>
      <c r="D551" t="s">
        <v>211</v>
      </c>
      <c r="E551" t="s">
        <v>813</v>
      </c>
      <c r="F551" t="s">
        <v>814</v>
      </c>
      <c r="G551" t="s">
        <v>929</v>
      </c>
      <c r="H551">
        <v>2672806</v>
      </c>
      <c r="I551" t="s">
        <v>214</v>
      </c>
      <c r="J551" s="14">
        <v>44151</v>
      </c>
      <c r="K551" t="s">
        <v>816</v>
      </c>
      <c r="L551" t="e">
        <f>VLOOKUP(H551,Sheet1!H:H,1,0)</f>
        <v>#N/A</v>
      </c>
    </row>
    <row r="552" spans="1:12">
      <c r="A552" t="s">
        <v>793</v>
      </c>
      <c r="B552" t="s">
        <v>324</v>
      </c>
      <c r="C552" t="s">
        <v>210</v>
      </c>
      <c r="D552" t="s">
        <v>211</v>
      </c>
      <c r="E552" t="s">
        <v>818</v>
      </c>
      <c r="F552" t="s">
        <v>819</v>
      </c>
      <c r="G552" t="s">
        <v>930</v>
      </c>
      <c r="H552">
        <v>3148606</v>
      </c>
      <c r="I552" t="s">
        <v>214</v>
      </c>
      <c r="J552" s="14">
        <v>45901</v>
      </c>
      <c r="K552" t="s">
        <v>821</v>
      </c>
      <c r="L552" t="e">
        <f>VLOOKUP(H552,Sheet1!H:H,1,0)</f>
        <v>#N/A</v>
      </c>
    </row>
    <row r="553" spans="1:12">
      <c r="A553" t="s">
        <v>793</v>
      </c>
      <c r="B553" t="s">
        <v>324</v>
      </c>
      <c r="C553" t="s">
        <v>429</v>
      </c>
      <c r="D553" t="s">
        <v>211</v>
      </c>
      <c r="E553" t="s">
        <v>818</v>
      </c>
      <c r="F553" t="s">
        <v>814</v>
      </c>
      <c r="G553" t="s">
        <v>931</v>
      </c>
      <c r="H553">
        <v>2993006</v>
      </c>
      <c r="I553" t="s">
        <v>220</v>
      </c>
      <c r="J553" s="14">
        <v>45338</v>
      </c>
      <c r="K553" t="s">
        <v>821</v>
      </c>
      <c r="L553" t="e">
        <f>VLOOKUP(H553,Sheet1!H:H,1,0)</f>
        <v>#N/A</v>
      </c>
    </row>
    <row r="554" spans="1:12">
      <c r="A554" t="s">
        <v>793</v>
      </c>
      <c r="B554" t="s">
        <v>324</v>
      </c>
      <c r="C554" t="s">
        <v>210</v>
      </c>
      <c r="D554" t="s">
        <v>211</v>
      </c>
      <c r="E554" t="s">
        <v>813</v>
      </c>
      <c r="F554" t="s">
        <v>814</v>
      </c>
      <c r="G554" t="s">
        <v>932</v>
      </c>
      <c r="H554">
        <v>2751606</v>
      </c>
      <c r="I554" t="s">
        <v>214</v>
      </c>
      <c r="J554" s="14">
        <v>45846</v>
      </c>
      <c r="K554" t="s">
        <v>816</v>
      </c>
      <c r="L554" t="e">
        <f>VLOOKUP(H554,Sheet1!H:H,1,0)</f>
        <v>#N/A</v>
      </c>
    </row>
    <row r="555" spans="1:12">
      <c r="A555" t="s">
        <v>793</v>
      </c>
      <c r="B555" t="s">
        <v>286</v>
      </c>
      <c r="C555" t="s">
        <v>210</v>
      </c>
      <c r="D555" t="s">
        <v>287</v>
      </c>
      <c r="E555" t="s">
        <v>877</v>
      </c>
      <c r="F555" t="s">
        <v>933</v>
      </c>
      <c r="G555" t="s">
        <v>934</v>
      </c>
      <c r="H555">
        <v>3236006</v>
      </c>
      <c r="I555" t="s">
        <v>843</v>
      </c>
      <c r="J555" s="14">
        <v>46092</v>
      </c>
      <c r="K555" t="s">
        <v>880</v>
      </c>
      <c r="L555" t="e">
        <f>VLOOKUP(H555,Sheet1!H:H,1,0)</f>
        <v>#N/A</v>
      </c>
    </row>
    <row r="556" spans="1:12">
      <c r="A556" t="s">
        <v>793</v>
      </c>
      <c r="B556" t="s">
        <v>286</v>
      </c>
      <c r="C556" t="s">
        <v>210</v>
      </c>
      <c r="D556" t="s">
        <v>287</v>
      </c>
      <c r="E556" t="s">
        <v>877</v>
      </c>
      <c r="F556" t="s">
        <v>878</v>
      </c>
      <c r="G556" t="s">
        <v>935</v>
      </c>
      <c r="H556">
        <v>1410506</v>
      </c>
      <c r="I556" t="s">
        <v>308</v>
      </c>
      <c r="J556" s="14">
        <v>39601</v>
      </c>
      <c r="K556" t="s">
        <v>880</v>
      </c>
      <c r="L556" t="e">
        <f>VLOOKUP(H556,Sheet1!H:H,1,0)</f>
        <v>#N/A</v>
      </c>
    </row>
    <row r="557" spans="1:12">
      <c r="A557" t="s">
        <v>793</v>
      </c>
      <c r="B557" t="s">
        <v>324</v>
      </c>
      <c r="C557" t="s">
        <v>210</v>
      </c>
      <c r="D557" t="s">
        <v>211</v>
      </c>
      <c r="E557" t="s">
        <v>813</v>
      </c>
      <c r="F557" t="s">
        <v>814</v>
      </c>
      <c r="G557" t="s">
        <v>936</v>
      </c>
      <c r="H557">
        <v>2880306</v>
      </c>
      <c r="I557" t="s">
        <v>214</v>
      </c>
      <c r="J557" s="14">
        <v>45257</v>
      </c>
      <c r="K557" t="s">
        <v>816</v>
      </c>
      <c r="L557" t="e">
        <f>VLOOKUP(H557,Sheet1!H:H,1,0)</f>
        <v>#N/A</v>
      </c>
    </row>
    <row r="558" spans="1:12">
      <c r="A558" t="s">
        <v>793</v>
      </c>
      <c r="B558" t="s">
        <v>324</v>
      </c>
      <c r="C558" t="s">
        <v>210</v>
      </c>
      <c r="D558" t="s">
        <v>211</v>
      </c>
      <c r="E558" t="s">
        <v>813</v>
      </c>
      <c r="F558" t="s">
        <v>814</v>
      </c>
      <c r="G558" t="s">
        <v>937</v>
      </c>
      <c r="H558">
        <v>3122606</v>
      </c>
      <c r="I558" t="s">
        <v>214</v>
      </c>
      <c r="J558" s="14">
        <v>45779</v>
      </c>
      <c r="K558" t="s">
        <v>816</v>
      </c>
      <c r="L558" t="e">
        <f>VLOOKUP(H558,Sheet1!H:H,1,0)</f>
        <v>#N/A</v>
      </c>
    </row>
    <row r="559" spans="1:12">
      <c r="A559" t="s">
        <v>793</v>
      </c>
      <c r="B559" t="s">
        <v>324</v>
      </c>
      <c r="C559" t="s">
        <v>210</v>
      </c>
      <c r="D559" t="s">
        <v>211</v>
      </c>
      <c r="E559" t="s">
        <v>813</v>
      </c>
      <c r="F559" t="s">
        <v>814</v>
      </c>
      <c r="G559" t="s">
        <v>938</v>
      </c>
      <c r="H559">
        <v>2997906</v>
      </c>
      <c r="I559" t="s">
        <v>220</v>
      </c>
      <c r="J559" s="14">
        <v>45369</v>
      </c>
      <c r="K559" t="s">
        <v>816</v>
      </c>
      <c r="L559" t="e">
        <f>VLOOKUP(H559,Sheet1!H:H,1,0)</f>
        <v>#N/A</v>
      </c>
    </row>
    <row r="560" spans="1:12">
      <c r="A560" t="s">
        <v>793</v>
      </c>
      <c r="B560" t="s">
        <v>324</v>
      </c>
      <c r="C560" t="s">
        <v>210</v>
      </c>
      <c r="D560" t="s">
        <v>211</v>
      </c>
      <c r="E560" t="s">
        <v>813</v>
      </c>
      <c r="F560" t="s">
        <v>814</v>
      </c>
      <c r="G560" t="s">
        <v>939</v>
      </c>
      <c r="H560">
        <v>2912206</v>
      </c>
      <c r="I560" t="s">
        <v>240</v>
      </c>
      <c r="J560" s="14">
        <v>45048</v>
      </c>
      <c r="K560" t="s">
        <v>816</v>
      </c>
      <c r="L560" t="e">
        <f>VLOOKUP(H560,Sheet1!H:H,1,0)</f>
        <v>#N/A</v>
      </c>
    </row>
    <row r="561" spans="1:12">
      <c r="A561" t="s">
        <v>793</v>
      </c>
      <c r="B561" t="s">
        <v>324</v>
      </c>
      <c r="C561" t="s">
        <v>210</v>
      </c>
      <c r="D561" t="s">
        <v>211</v>
      </c>
      <c r="E561" t="s">
        <v>809</v>
      </c>
      <c r="F561" t="s">
        <v>823</v>
      </c>
      <c r="G561" t="s">
        <v>940</v>
      </c>
      <c r="H561">
        <v>2680006</v>
      </c>
      <c r="I561" t="s">
        <v>333</v>
      </c>
      <c r="J561" s="14">
        <v>44214</v>
      </c>
      <c r="K561" t="s">
        <v>812</v>
      </c>
      <c r="L561" t="e">
        <f>VLOOKUP(H561,Sheet1!H:H,1,0)</f>
        <v>#N/A</v>
      </c>
    </row>
    <row r="562" spans="1:12">
      <c r="A562" t="s">
        <v>793</v>
      </c>
      <c r="B562" t="s">
        <v>324</v>
      </c>
      <c r="C562" t="s">
        <v>210</v>
      </c>
      <c r="D562" t="s">
        <v>211</v>
      </c>
      <c r="E562" t="s">
        <v>809</v>
      </c>
      <c r="F562" t="s">
        <v>810</v>
      </c>
      <c r="G562" t="s">
        <v>941</v>
      </c>
      <c r="H562">
        <v>3151706</v>
      </c>
      <c r="I562" t="s">
        <v>214</v>
      </c>
      <c r="J562" s="14">
        <v>45916</v>
      </c>
      <c r="K562" t="s">
        <v>812</v>
      </c>
      <c r="L562" t="e">
        <f>VLOOKUP(H562,Sheet1!H:H,1,0)</f>
        <v>#N/A</v>
      </c>
    </row>
    <row r="563" spans="1:12">
      <c r="A563" t="s">
        <v>793</v>
      </c>
      <c r="B563" t="s">
        <v>324</v>
      </c>
      <c r="C563" t="s">
        <v>429</v>
      </c>
      <c r="D563" t="s">
        <v>211</v>
      </c>
      <c r="E563" t="s">
        <v>818</v>
      </c>
      <c r="F563" t="s">
        <v>819</v>
      </c>
      <c r="G563" t="s">
        <v>942</v>
      </c>
      <c r="H563">
        <v>2940706</v>
      </c>
      <c r="I563" t="s">
        <v>220</v>
      </c>
      <c r="J563" s="14">
        <v>45187</v>
      </c>
      <c r="K563" t="s">
        <v>821</v>
      </c>
      <c r="L563" t="e">
        <f>VLOOKUP(H563,Sheet1!H:H,1,0)</f>
        <v>#N/A</v>
      </c>
    </row>
    <row r="564" spans="1:12">
      <c r="A564" t="s">
        <v>793</v>
      </c>
      <c r="B564" t="s">
        <v>324</v>
      </c>
      <c r="C564" t="s">
        <v>210</v>
      </c>
      <c r="D564" t="s">
        <v>211</v>
      </c>
      <c r="E564" t="s">
        <v>813</v>
      </c>
      <c r="F564" t="s">
        <v>814</v>
      </c>
      <c r="G564" t="s">
        <v>943</v>
      </c>
      <c r="H564">
        <v>3043106</v>
      </c>
      <c r="I564" t="s">
        <v>214</v>
      </c>
      <c r="J564" s="14">
        <v>45824</v>
      </c>
      <c r="K564" t="s">
        <v>816</v>
      </c>
      <c r="L564" t="e">
        <f>VLOOKUP(H564,Sheet1!H:H,1,0)</f>
        <v>#N/A</v>
      </c>
    </row>
    <row r="565" spans="1:12">
      <c r="A565" t="s">
        <v>793</v>
      </c>
      <c r="B565" t="s">
        <v>324</v>
      </c>
      <c r="C565" t="s">
        <v>210</v>
      </c>
      <c r="D565" t="s">
        <v>211</v>
      </c>
      <c r="E565" t="s">
        <v>813</v>
      </c>
      <c r="F565" t="s">
        <v>814</v>
      </c>
      <c r="G565" t="s">
        <v>944</v>
      </c>
      <c r="H565">
        <v>3110206</v>
      </c>
      <c r="I565" t="s">
        <v>220</v>
      </c>
      <c r="J565" s="14">
        <v>45689</v>
      </c>
      <c r="K565" t="s">
        <v>816</v>
      </c>
      <c r="L565" t="e">
        <f>VLOOKUP(H565,Sheet1!H:H,1,0)</f>
        <v>#N/A</v>
      </c>
    </row>
    <row r="566" spans="1:12">
      <c r="A566" t="s">
        <v>793</v>
      </c>
      <c r="B566" t="s">
        <v>324</v>
      </c>
      <c r="C566" t="s">
        <v>210</v>
      </c>
      <c r="D566" t="s">
        <v>211</v>
      </c>
      <c r="E566" t="s">
        <v>813</v>
      </c>
      <c r="F566" t="s">
        <v>814</v>
      </c>
      <c r="G566" t="s">
        <v>945</v>
      </c>
      <c r="H566">
        <v>3227306</v>
      </c>
      <c r="I566" t="s">
        <v>214</v>
      </c>
      <c r="J566" s="14">
        <v>46055</v>
      </c>
      <c r="K566" t="s">
        <v>816</v>
      </c>
      <c r="L566" t="e">
        <f>VLOOKUP(H566,Sheet1!H:H,1,0)</f>
        <v>#N/A</v>
      </c>
    </row>
    <row r="567" spans="1:12">
      <c r="A567" t="s">
        <v>793</v>
      </c>
      <c r="B567" t="s">
        <v>324</v>
      </c>
      <c r="C567" t="s">
        <v>210</v>
      </c>
      <c r="D567" t="s">
        <v>211</v>
      </c>
      <c r="E567" t="s">
        <v>818</v>
      </c>
      <c r="F567" t="s">
        <v>819</v>
      </c>
      <c r="G567" t="s">
        <v>946</v>
      </c>
      <c r="H567">
        <v>3070606</v>
      </c>
      <c r="I567" t="s">
        <v>422</v>
      </c>
      <c r="J567" s="14">
        <v>45600</v>
      </c>
      <c r="K567" t="s">
        <v>821</v>
      </c>
      <c r="L567" t="e">
        <f>VLOOKUP(H567,Sheet1!H:H,1,0)</f>
        <v>#N/A</v>
      </c>
    </row>
    <row r="568" spans="1:12">
      <c r="A568" t="s">
        <v>793</v>
      </c>
      <c r="B568" t="s">
        <v>324</v>
      </c>
      <c r="C568" t="s">
        <v>210</v>
      </c>
      <c r="D568" t="s">
        <v>211</v>
      </c>
      <c r="E568" t="s">
        <v>813</v>
      </c>
      <c r="F568" t="s">
        <v>814</v>
      </c>
      <c r="G568" t="s">
        <v>947</v>
      </c>
      <c r="H568">
        <v>3233606</v>
      </c>
      <c r="I568" t="s">
        <v>214</v>
      </c>
      <c r="J568" s="14">
        <v>46083</v>
      </c>
      <c r="K568" t="s">
        <v>816</v>
      </c>
      <c r="L568" t="e">
        <f>VLOOKUP(H568,Sheet1!H:H,1,0)</f>
        <v>#N/A</v>
      </c>
    </row>
    <row r="569" spans="1:12">
      <c r="A569" t="s">
        <v>793</v>
      </c>
      <c r="B569" t="s">
        <v>324</v>
      </c>
      <c r="C569" t="s">
        <v>210</v>
      </c>
      <c r="D569" t="s">
        <v>211</v>
      </c>
      <c r="E569" t="s">
        <v>809</v>
      </c>
      <c r="F569" t="s">
        <v>810</v>
      </c>
      <c r="G569" t="s">
        <v>948</v>
      </c>
      <c r="H569">
        <v>2931506</v>
      </c>
      <c r="I569" t="s">
        <v>214</v>
      </c>
      <c r="J569" s="14">
        <v>45139</v>
      </c>
      <c r="K569" t="s">
        <v>812</v>
      </c>
      <c r="L569" t="e">
        <f>VLOOKUP(H569,Sheet1!H:H,1,0)</f>
        <v>#N/A</v>
      </c>
    </row>
    <row r="570" spans="1:12">
      <c r="A570" t="s">
        <v>793</v>
      </c>
      <c r="B570" t="s">
        <v>324</v>
      </c>
      <c r="C570" t="s">
        <v>210</v>
      </c>
      <c r="D570" t="s">
        <v>211</v>
      </c>
      <c r="E570" t="s">
        <v>813</v>
      </c>
      <c r="F570" t="s">
        <v>814</v>
      </c>
      <c r="G570" t="s">
        <v>949</v>
      </c>
      <c r="H570">
        <v>3180406</v>
      </c>
      <c r="I570" t="s">
        <v>214</v>
      </c>
      <c r="J570" s="14">
        <v>45964</v>
      </c>
      <c r="K570" t="s">
        <v>816</v>
      </c>
      <c r="L570" t="e">
        <f>VLOOKUP(H570,Sheet1!H:H,1,0)</f>
        <v>#N/A</v>
      </c>
    </row>
    <row r="571" spans="1:12">
      <c r="A571" t="s">
        <v>793</v>
      </c>
      <c r="B571" t="s">
        <v>324</v>
      </c>
      <c r="C571" t="s">
        <v>210</v>
      </c>
      <c r="D571" t="s">
        <v>211</v>
      </c>
      <c r="E571" t="s">
        <v>809</v>
      </c>
      <c r="F571" t="s">
        <v>810</v>
      </c>
      <c r="G571" t="s">
        <v>950</v>
      </c>
      <c r="H571">
        <v>2754306</v>
      </c>
      <c r="I571" t="s">
        <v>240</v>
      </c>
      <c r="J571" s="14">
        <v>45243</v>
      </c>
      <c r="K571" t="s">
        <v>812</v>
      </c>
      <c r="L571" t="e">
        <f>VLOOKUP(H571,Sheet1!H:H,1,0)</f>
        <v>#N/A</v>
      </c>
    </row>
    <row r="572" spans="1:12">
      <c r="A572" t="s">
        <v>793</v>
      </c>
      <c r="B572" t="s">
        <v>324</v>
      </c>
      <c r="C572" t="s">
        <v>210</v>
      </c>
      <c r="D572" t="s">
        <v>211</v>
      </c>
      <c r="E572" t="s">
        <v>818</v>
      </c>
      <c r="F572" t="s">
        <v>819</v>
      </c>
      <c r="G572" t="s">
        <v>951</v>
      </c>
      <c r="H572">
        <v>3113906</v>
      </c>
      <c r="I572" t="s">
        <v>220</v>
      </c>
      <c r="J572" s="14">
        <v>45708</v>
      </c>
      <c r="K572" t="s">
        <v>821</v>
      </c>
      <c r="L572" t="e">
        <f>VLOOKUP(H572,Sheet1!H:H,1,0)</f>
        <v>#N/A</v>
      </c>
    </row>
    <row r="573" spans="1:12">
      <c r="A573" t="s">
        <v>793</v>
      </c>
      <c r="B573" t="s">
        <v>324</v>
      </c>
      <c r="C573" t="s">
        <v>210</v>
      </c>
      <c r="D573" t="s">
        <v>211</v>
      </c>
      <c r="E573" t="s">
        <v>818</v>
      </c>
      <c r="F573" t="s">
        <v>819</v>
      </c>
      <c r="G573" t="s">
        <v>952</v>
      </c>
      <c r="H573">
        <v>3105406</v>
      </c>
      <c r="I573" t="s">
        <v>220</v>
      </c>
      <c r="J573" s="14">
        <v>45689</v>
      </c>
      <c r="K573" t="s">
        <v>821</v>
      </c>
      <c r="L573" t="e">
        <f>VLOOKUP(H573,Sheet1!H:H,1,0)</f>
        <v>#N/A</v>
      </c>
    </row>
    <row r="574" spans="1:12">
      <c r="A574" t="s">
        <v>793</v>
      </c>
      <c r="B574" t="s">
        <v>293</v>
      </c>
      <c r="C574" t="s">
        <v>210</v>
      </c>
      <c r="D574" t="s">
        <v>287</v>
      </c>
      <c r="E574" t="s">
        <v>794</v>
      </c>
      <c r="F574" t="s">
        <v>953</v>
      </c>
      <c r="G574" t="s">
        <v>954</v>
      </c>
      <c r="H574">
        <v>3145706</v>
      </c>
      <c r="I574" t="s">
        <v>301</v>
      </c>
      <c r="J574" s="14">
        <v>45887</v>
      </c>
      <c r="K574" t="s">
        <v>797</v>
      </c>
      <c r="L574" t="e">
        <f>VLOOKUP(H574,Sheet1!H:H,1,0)</f>
        <v>#N/A</v>
      </c>
    </row>
    <row r="575" spans="1:12">
      <c r="A575" t="s">
        <v>793</v>
      </c>
      <c r="B575" t="s">
        <v>324</v>
      </c>
      <c r="C575" t="s">
        <v>210</v>
      </c>
      <c r="D575" t="s">
        <v>211</v>
      </c>
      <c r="E575" t="s">
        <v>813</v>
      </c>
      <c r="F575" t="s">
        <v>814</v>
      </c>
      <c r="G575" t="s">
        <v>955</v>
      </c>
      <c r="H575">
        <v>3214106</v>
      </c>
      <c r="I575" t="s">
        <v>214</v>
      </c>
      <c r="J575" s="14">
        <v>45992</v>
      </c>
      <c r="K575" t="s">
        <v>816</v>
      </c>
      <c r="L575" t="e">
        <f>VLOOKUP(H575,Sheet1!H:H,1,0)</f>
        <v>#N/A</v>
      </c>
    </row>
    <row r="576" spans="1:12">
      <c r="A576" t="s">
        <v>793</v>
      </c>
      <c r="B576" t="s">
        <v>324</v>
      </c>
      <c r="C576" t="s">
        <v>210</v>
      </c>
      <c r="D576" t="s">
        <v>211</v>
      </c>
      <c r="E576" t="s">
        <v>813</v>
      </c>
      <c r="F576" t="s">
        <v>814</v>
      </c>
      <c r="G576" t="s">
        <v>956</v>
      </c>
      <c r="H576">
        <v>3112406</v>
      </c>
      <c r="I576" t="s">
        <v>220</v>
      </c>
      <c r="J576" s="14">
        <v>45705</v>
      </c>
      <c r="K576" t="s">
        <v>816</v>
      </c>
      <c r="L576" t="e">
        <f>VLOOKUP(H576,Sheet1!H:H,1,0)</f>
        <v>#N/A</v>
      </c>
    </row>
    <row r="577" spans="1:12">
      <c r="A577" t="s">
        <v>793</v>
      </c>
      <c r="B577" t="s">
        <v>324</v>
      </c>
      <c r="C577" t="s">
        <v>210</v>
      </c>
      <c r="D577" t="s">
        <v>211</v>
      </c>
      <c r="E577" t="s">
        <v>813</v>
      </c>
      <c r="F577" t="s">
        <v>814</v>
      </c>
      <c r="G577" t="s">
        <v>957</v>
      </c>
      <c r="H577">
        <v>3215206</v>
      </c>
      <c r="I577" t="s">
        <v>220</v>
      </c>
      <c r="J577" s="14">
        <v>45992</v>
      </c>
      <c r="K577" t="s">
        <v>816</v>
      </c>
      <c r="L577" t="e">
        <f>VLOOKUP(H577,Sheet1!H:H,1,0)</f>
        <v>#N/A</v>
      </c>
    </row>
    <row r="578" spans="1:12">
      <c r="A578" t="s">
        <v>793</v>
      </c>
      <c r="B578" t="s">
        <v>324</v>
      </c>
      <c r="C578" t="s">
        <v>210</v>
      </c>
      <c r="D578" t="s">
        <v>211</v>
      </c>
      <c r="E578" t="s">
        <v>818</v>
      </c>
      <c r="F578" t="s">
        <v>819</v>
      </c>
      <c r="G578" t="s">
        <v>958</v>
      </c>
      <c r="H578">
        <v>2883306</v>
      </c>
      <c r="I578" t="s">
        <v>905</v>
      </c>
      <c r="J578" s="14">
        <v>44881</v>
      </c>
      <c r="K578" t="s">
        <v>821</v>
      </c>
      <c r="L578" t="e">
        <f>VLOOKUP(H578,Sheet1!H:H,1,0)</f>
        <v>#N/A</v>
      </c>
    </row>
    <row r="579" spans="1:12">
      <c r="A579" t="s">
        <v>793</v>
      </c>
      <c r="B579" t="s">
        <v>324</v>
      </c>
      <c r="C579" t="s">
        <v>210</v>
      </c>
      <c r="D579" t="s">
        <v>211</v>
      </c>
      <c r="E579" t="s">
        <v>813</v>
      </c>
      <c r="F579" t="s">
        <v>814</v>
      </c>
      <c r="G579" t="s">
        <v>959</v>
      </c>
      <c r="H579">
        <v>3131106</v>
      </c>
      <c r="I579" t="s">
        <v>220</v>
      </c>
      <c r="J579" s="14">
        <v>45831</v>
      </c>
      <c r="K579" t="s">
        <v>816</v>
      </c>
      <c r="L579" t="e">
        <f>VLOOKUP(H579,Sheet1!H:H,1,0)</f>
        <v>#N/A</v>
      </c>
    </row>
    <row r="580" spans="1:12">
      <c r="A580" t="s">
        <v>793</v>
      </c>
      <c r="B580" t="s">
        <v>324</v>
      </c>
      <c r="C580" t="s">
        <v>210</v>
      </c>
      <c r="D580" t="s">
        <v>211</v>
      </c>
      <c r="E580" t="s">
        <v>813</v>
      </c>
      <c r="F580" t="s">
        <v>814</v>
      </c>
      <c r="G580" t="s">
        <v>960</v>
      </c>
      <c r="H580">
        <v>2957006</v>
      </c>
      <c r="I580" t="s">
        <v>424</v>
      </c>
      <c r="J580" s="14">
        <v>45232</v>
      </c>
      <c r="K580" t="s">
        <v>816</v>
      </c>
      <c r="L580" t="e">
        <f>VLOOKUP(H580,Sheet1!H:H,1,0)</f>
        <v>#N/A</v>
      </c>
    </row>
    <row r="581" spans="1:12">
      <c r="A581" t="s">
        <v>793</v>
      </c>
      <c r="B581" t="s">
        <v>324</v>
      </c>
      <c r="C581" t="s">
        <v>210</v>
      </c>
      <c r="D581" t="s">
        <v>211</v>
      </c>
      <c r="E581" t="s">
        <v>809</v>
      </c>
      <c r="F581" t="s">
        <v>810</v>
      </c>
      <c r="G581" t="s">
        <v>961</v>
      </c>
      <c r="H581">
        <v>3237206</v>
      </c>
      <c r="I581" t="s">
        <v>214</v>
      </c>
      <c r="J581" s="14">
        <v>46097</v>
      </c>
      <c r="K581" t="s">
        <v>812</v>
      </c>
      <c r="L581" t="e">
        <f>VLOOKUP(H581,Sheet1!H:H,1,0)</f>
        <v>#N/A</v>
      </c>
    </row>
    <row r="582" spans="1:12">
      <c r="A582" t="s">
        <v>793</v>
      </c>
      <c r="B582" t="s">
        <v>324</v>
      </c>
      <c r="C582" t="s">
        <v>210</v>
      </c>
      <c r="D582" t="s">
        <v>211</v>
      </c>
      <c r="E582" t="s">
        <v>813</v>
      </c>
      <c r="F582" t="s">
        <v>814</v>
      </c>
      <c r="G582" t="s">
        <v>962</v>
      </c>
      <c r="H582">
        <v>3041406</v>
      </c>
      <c r="I582" t="s">
        <v>214</v>
      </c>
      <c r="J582" s="14">
        <v>45562</v>
      </c>
      <c r="K582" t="s">
        <v>816</v>
      </c>
      <c r="L582" t="e">
        <f>VLOOKUP(H582,Sheet1!H:H,1,0)</f>
        <v>#N/A</v>
      </c>
    </row>
    <row r="583" spans="1:12">
      <c r="A583" t="s">
        <v>793</v>
      </c>
      <c r="B583" t="s">
        <v>324</v>
      </c>
      <c r="C583" t="s">
        <v>210</v>
      </c>
      <c r="D583" t="s">
        <v>211</v>
      </c>
      <c r="E583" t="s">
        <v>813</v>
      </c>
      <c r="F583" t="s">
        <v>814</v>
      </c>
      <c r="G583" t="s">
        <v>963</v>
      </c>
      <c r="H583">
        <v>3043006</v>
      </c>
      <c r="I583" t="s">
        <v>214</v>
      </c>
      <c r="J583" s="14">
        <v>45565</v>
      </c>
      <c r="K583" t="s">
        <v>816</v>
      </c>
      <c r="L583" t="e">
        <f>VLOOKUP(H583,Sheet1!H:H,1,0)</f>
        <v>#N/A</v>
      </c>
    </row>
    <row r="584" spans="1:12">
      <c r="A584" t="s">
        <v>793</v>
      </c>
      <c r="B584" t="s">
        <v>324</v>
      </c>
      <c r="C584" t="s">
        <v>210</v>
      </c>
      <c r="D584" t="s">
        <v>211</v>
      </c>
      <c r="E584" t="s">
        <v>813</v>
      </c>
      <c r="F584" t="s">
        <v>814</v>
      </c>
      <c r="G584" t="s">
        <v>964</v>
      </c>
      <c r="H584">
        <v>3068206</v>
      </c>
      <c r="I584" t="s">
        <v>214</v>
      </c>
      <c r="J584" s="14">
        <v>45600</v>
      </c>
      <c r="K584" t="s">
        <v>816</v>
      </c>
      <c r="L584" t="e">
        <f>VLOOKUP(H584,Sheet1!H:H,1,0)</f>
        <v>#N/A</v>
      </c>
    </row>
    <row r="585" spans="1:12">
      <c r="A585" t="s">
        <v>793</v>
      </c>
      <c r="B585" t="s">
        <v>324</v>
      </c>
      <c r="C585" t="s">
        <v>210</v>
      </c>
      <c r="D585" t="s">
        <v>211</v>
      </c>
      <c r="E585" t="s">
        <v>818</v>
      </c>
      <c r="F585" t="s">
        <v>819</v>
      </c>
      <c r="G585" t="s">
        <v>965</v>
      </c>
      <c r="H585">
        <v>3102006</v>
      </c>
      <c r="I585" t="s">
        <v>214</v>
      </c>
      <c r="J585" s="14">
        <v>45628</v>
      </c>
      <c r="K585" t="s">
        <v>821</v>
      </c>
      <c r="L585" t="e">
        <f>VLOOKUP(H585,Sheet1!H:H,1,0)</f>
        <v>#N/A</v>
      </c>
    </row>
    <row r="586" spans="1:12">
      <c r="A586" t="s">
        <v>793</v>
      </c>
      <c r="B586" t="s">
        <v>324</v>
      </c>
      <c r="C586" t="s">
        <v>210</v>
      </c>
      <c r="D586" t="s">
        <v>211</v>
      </c>
      <c r="E586" t="s">
        <v>818</v>
      </c>
      <c r="F586" t="s">
        <v>819</v>
      </c>
      <c r="G586" t="s">
        <v>966</v>
      </c>
      <c r="H586">
        <v>3151406</v>
      </c>
      <c r="I586" t="s">
        <v>214</v>
      </c>
      <c r="J586" s="14">
        <v>45916</v>
      </c>
      <c r="K586" t="s">
        <v>821</v>
      </c>
      <c r="L586" t="e">
        <f>VLOOKUP(H586,Sheet1!H:H,1,0)</f>
        <v>#N/A</v>
      </c>
    </row>
    <row r="587" spans="1:12">
      <c r="A587" t="s">
        <v>793</v>
      </c>
      <c r="B587" t="s">
        <v>324</v>
      </c>
      <c r="C587" t="s">
        <v>210</v>
      </c>
      <c r="D587" t="s">
        <v>211</v>
      </c>
      <c r="E587" t="s">
        <v>809</v>
      </c>
      <c r="F587" t="s">
        <v>810</v>
      </c>
      <c r="G587" t="s">
        <v>967</v>
      </c>
      <c r="H587">
        <v>3043406</v>
      </c>
      <c r="I587" t="s">
        <v>214</v>
      </c>
      <c r="J587" s="14">
        <v>45566</v>
      </c>
      <c r="K587" t="s">
        <v>812</v>
      </c>
      <c r="L587" t="e">
        <f>VLOOKUP(H587,Sheet1!H:H,1,0)</f>
        <v>#N/A</v>
      </c>
    </row>
    <row r="588" spans="1:12">
      <c r="A588" t="s">
        <v>793</v>
      </c>
      <c r="B588" t="s">
        <v>324</v>
      </c>
      <c r="C588" t="s">
        <v>210</v>
      </c>
      <c r="D588" t="s">
        <v>211</v>
      </c>
      <c r="E588" t="s">
        <v>813</v>
      </c>
      <c r="F588" t="s">
        <v>814</v>
      </c>
      <c r="G588" t="s">
        <v>968</v>
      </c>
      <c r="H588">
        <v>3180506</v>
      </c>
      <c r="I588" t="s">
        <v>220</v>
      </c>
      <c r="J588" s="14">
        <v>45964</v>
      </c>
      <c r="K588" t="s">
        <v>816</v>
      </c>
      <c r="L588" t="e">
        <f>VLOOKUP(H588,Sheet1!H:H,1,0)</f>
        <v>#N/A</v>
      </c>
    </row>
    <row r="589" spans="1:12">
      <c r="A589" t="s">
        <v>793</v>
      </c>
      <c r="B589" t="s">
        <v>324</v>
      </c>
      <c r="C589" t="s">
        <v>210</v>
      </c>
      <c r="D589" t="s">
        <v>211</v>
      </c>
      <c r="E589" t="s">
        <v>813</v>
      </c>
      <c r="F589" t="s">
        <v>814</v>
      </c>
      <c r="G589" t="s">
        <v>969</v>
      </c>
      <c r="H589">
        <v>3227406</v>
      </c>
      <c r="I589" t="s">
        <v>214</v>
      </c>
      <c r="J589" s="14">
        <v>46055</v>
      </c>
      <c r="K589" t="s">
        <v>816</v>
      </c>
      <c r="L589" t="e">
        <f>VLOOKUP(H589,Sheet1!H:H,1,0)</f>
        <v>#N/A</v>
      </c>
    </row>
    <row r="590" spans="1:12">
      <c r="A590" t="s">
        <v>793</v>
      </c>
      <c r="B590" t="s">
        <v>324</v>
      </c>
      <c r="C590" t="s">
        <v>210</v>
      </c>
      <c r="D590" t="s">
        <v>211</v>
      </c>
      <c r="E590" t="s">
        <v>813</v>
      </c>
      <c r="F590" t="s">
        <v>814</v>
      </c>
      <c r="G590" t="s">
        <v>970</v>
      </c>
      <c r="H590">
        <v>3022806</v>
      </c>
      <c r="I590" t="s">
        <v>214</v>
      </c>
      <c r="J590" s="14">
        <v>45516</v>
      </c>
      <c r="K590" t="s">
        <v>816</v>
      </c>
      <c r="L590" t="e">
        <f>VLOOKUP(H590,Sheet1!H:H,1,0)</f>
        <v>#N/A</v>
      </c>
    </row>
    <row r="591" spans="1:12">
      <c r="A591" t="s">
        <v>793</v>
      </c>
      <c r="B591" t="s">
        <v>324</v>
      </c>
      <c r="C591" t="s">
        <v>210</v>
      </c>
      <c r="D591" t="s">
        <v>211</v>
      </c>
      <c r="E591" t="s">
        <v>813</v>
      </c>
      <c r="F591" t="s">
        <v>814</v>
      </c>
      <c r="G591" t="s">
        <v>971</v>
      </c>
      <c r="H591">
        <v>2402306</v>
      </c>
      <c r="I591" t="s">
        <v>507</v>
      </c>
      <c r="J591" s="14">
        <v>42902</v>
      </c>
      <c r="K591" t="s">
        <v>816</v>
      </c>
      <c r="L591" t="e">
        <f>VLOOKUP(H591,Sheet1!H:H,1,0)</f>
        <v>#N/A</v>
      </c>
    </row>
    <row r="592" spans="1:12">
      <c r="A592" t="s">
        <v>793</v>
      </c>
      <c r="B592" t="s">
        <v>324</v>
      </c>
      <c r="C592" t="s">
        <v>210</v>
      </c>
      <c r="D592" t="s">
        <v>211</v>
      </c>
      <c r="E592" t="s">
        <v>813</v>
      </c>
      <c r="F592" t="s">
        <v>814</v>
      </c>
      <c r="G592" t="s">
        <v>972</v>
      </c>
      <c r="H592">
        <v>1352606</v>
      </c>
      <c r="I592" t="s">
        <v>690</v>
      </c>
      <c r="J592" s="14">
        <v>39311</v>
      </c>
      <c r="K592" t="s">
        <v>816</v>
      </c>
      <c r="L592" t="e">
        <f>VLOOKUP(H592,Sheet1!H:H,1,0)</f>
        <v>#N/A</v>
      </c>
    </row>
    <row r="593" spans="1:12">
      <c r="A593" t="s">
        <v>793</v>
      </c>
      <c r="B593" t="s">
        <v>324</v>
      </c>
      <c r="C593" t="s">
        <v>210</v>
      </c>
      <c r="D593" t="s">
        <v>211</v>
      </c>
      <c r="E593" t="s">
        <v>818</v>
      </c>
      <c r="F593" t="s">
        <v>819</v>
      </c>
      <c r="G593" t="s">
        <v>973</v>
      </c>
      <c r="H593">
        <v>2253306</v>
      </c>
      <c r="I593" t="s">
        <v>240</v>
      </c>
      <c r="J593" s="14">
        <v>42475</v>
      </c>
      <c r="K593" t="s">
        <v>821</v>
      </c>
      <c r="L593" t="e">
        <f>VLOOKUP(H593,Sheet1!H:H,1,0)</f>
        <v>#N/A</v>
      </c>
    </row>
    <row r="594" spans="1:12">
      <c r="A594" t="s">
        <v>793</v>
      </c>
      <c r="B594" t="s">
        <v>324</v>
      </c>
      <c r="C594" t="s">
        <v>210</v>
      </c>
      <c r="D594" t="s">
        <v>211</v>
      </c>
      <c r="E594" t="s">
        <v>809</v>
      </c>
      <c r="F594" t="s">
        <v>810</v>
      </c>
      <c r="G594" t="s">
        <v>974</v>
      </c>
      <c r="H594">
        <v>3212206</v>
      </c>
      <c r="I594" t="s">
        <v>214</v>
      </c>
      <c r="J594" s="14">
        <v>45992</v>
      </c>
      <c r="K594" t="s">
        <v>812</v>
      </c>
      <c r="L594" t="e">
        <f>VLOOKUP(H594,Sheet1!H:H,1,0)</f>
        <v>#N/A</v>
      </c>
    </row>
    <row r="595" spans="1:12">
      <c r="A595" t="s">
        <v>793</v>
      </c>
      <c r="B595" t="s">
        <v>324</v>
      </c>
      <c r="C595" t="s">
        <v>210</v>
      </c>
      <c r="D595" t="s">
        <v>211</v>
      </c>
      <c r="E595" t="s">
        <v>809</v>
      </c>
      <c r="F595" t="s">
        <v>810</v>
      </c>
      <c r="G595" t="s">
        <v>975</v>
      </c>
      <c r="H595">
        <v>3142106</v>
      </c>
      <c r="I595" t="s">
        <v>214</v>
      </c>
      <c r="J595" s="14">
        <v>45870</v>
      </c>
      <c r="K595" t="s">
        <v>812</v>
      </c>
      <c r="L595" t="e">
        <f>VLOOKUP(H595,Sheet1!H:H,1,0)</f>
        <v>#N/A</v>
      </c>
    </row>
    <row r="596" spans="1:12">
      <c r="A596" t="s">
        <v>793</v>
      </c>
      <c r="B596" t="s">
        <v>324</v>
      </c>
      <c r="C596" t="s">
        <v>210</v>
      </c>
      <c r="D596" t="s">
        <v>211</v>
      </c>
      <c r="E596" t="s">
        <v>809</v>
      </c>
      <c r="F596" t="s">
        <v>810</v>
      </c>
      <c r="G596" t="s">
        <v>976</v>
      </c>
      <c r="H596">
        <v>2800206</v>
      </c>
      <c r="I596" t="s">
        <v>214</v>
      </c>
      <c r="J596" s="14">
        <v>44669</v>
      </c>
      <c r="K596" t="s">
        <v>812</v>
      </c>
      <c r="L596" t="e">
        <f>VLOOKUP(H596,Sheet1!H:H,1,0)</f>
        <v>#N/A</v>
      </c>
    </row>
    <row r="597" spans="1:12">
      <c r="A597" t="s">
        <v>793</v>
      </c>
      <c r="B597" t="s">
        <v>324</v>
      </c>
      <c r="C597" t="s">
        <v>210</v>
      </c>
      <c r="D597" t="s">
        <v>211</v>
      </c>
      <c r="E597" t="s">
        <v>809</v>
      </c>
      <c r="F597" t="s">
        <v>810</v>
      </c>
      <c r="G597" t="s">
        <v>977</v>
      </c>
      <c r="H597">
        <v>3056206</v>
      </c>
      <c r="I597" t="s">
        <v>214</v>
      </c>
      <c r="J597" s="14">
        <v>45581</v>
      </c>
      <c r="K597" t="s">
        <v>812</v>
      </c>
      <c r="L597" t="e">
        <f>VLOOKUP(H597,Sheet1!H:H,1,0)</f>
        <v>#N/A</v>
      </c>
    </row>
    <row r="598" spans="1:12">
      <c r="A598" t="s">
        <v>793</v>
      </c>
      <c r="B598" t="s">
        <v>324</v>
      </c>
      <c r="C598" t="s">
        <v>210</v>
      </c>
      <c r="D598" t="s">
        <v>211</v>
      </c>
      <c r="E598" t="s">
        <v>813</v>
      </c>
      <c r="F598" t="s">
        <v>814</v>
      </c>
      <c r="G598" t="s">
        <v>978</v>
      </c>
      <c r="H598">
        <v>2428906</v>
      </c>
      <c r="I598" t="s">
        <v>905</v>
      </c>
      <c r="J598" s="14">
        <v>42996</v>
      </c>
      <c r="K598" t="s">
        <v>816</v>
      </c>
      <c r="L598" t="e">
        <f>VLOOKUP(H598,Sheet1!H:H,1,0)</f>
        <v>#N/A</v>
      </c>
    </row>
    <row r="599" spans="1:12">
      <c r="A599" t="s">
        <v>793</v>
      </c>
      <c r="B599" t="s">
        <v>324</v>
      </c>
      <c r="C599" t="s">
        <v>210</v>
      </c>
      <c r="D599" t="s">
        <v>211</v>
      </c>
      <c r="E599" t="s">
        <v>813</v>
      </c>
      <c r="F599" t="s">
        <v>814</v>
      </c>
      <c r="G599" t="s">
        <v>979</v>
      </c>
      <c r="H599">
        <v>2940906</v>
      </c>
      <c r="I599" t="s">
        <v>424</v>
      </c>
      <c r="J599" s="14">
        <v>45187</v>
      </c>
      <c r="K599" t="s">
        <v>816</v>
      </c>
      <c r="L599" t="e">
        <f>VLOOKUP(H599,Sheet1!H:H,1,0)</f>
        <v>#N/A</v>
      </c>
    </row>
    <row r="600" spans="1:12">
      <c r="A600" t="s">
        <v>793</v>
      </c>
      <c r="B600" t="s">
        <v>324</v>
      </c>
      <c r="C600" t="s">
        <v>210</v>
      </c>
      <c r="D600" t="s">
        <v>211</v>
      </c>
      <c r="E600" t="s">
        <v>809</v>
      </c>
      <c r="F600" t="s">
        <v>823</v>
      </c>
      <c r="G600" t="s">
        <v>980</v>
      </c>
      <c r="H600">
        <v>3122806</v>
      </c>
      <c r="I600" t="s">
        <v>214</v>
      </c>
      <c r="J600" s="14">
        <v>45779</v>
      </c>
      <c r="K600" t="s">
        <v>812</v>
      </c>
      <c r="L600" t="e">
        <f>VLOOKUP(H600,Sheet1!H:H,1,0)</f>
        <v>#N/A</v>
      </c>
    </row>
    <row r="601" spans="1:12">
      <c r="A601" t="s">
        <v>793</v>
      </c>
      <c r="B601" t="s">
        <v>324</v>
      </c>
      <c r="C601" t="s">
        <v>210</v>
      </c>
      <c r="D601" t="s">
        <v>211</v>
      </c>
      <c r="E601" t="s">
        <v>794</v>
      </c>
      <c r="F601" t="s">
        <v>819</v>
      </c>
      <c r="G601" t="s">
        <v>821</v>
      </c>
      <c r="H601">
        <v>2402906</v>
      </c>
      <c r="I601" t="s">
        <v>465</v>
      </c>
      <c r="J601" s="14">
        <v>42902</v>
      </c>
      <c r="K601" t="s">
        <v>797</v>
      </c>
      <c r="L601" t="e">
        <f>VLOOKUP(H601,Sheet1!H:H,1,0)</f>
        <v>#N/A</v>
      </c>
    </row>
    <row r="602" spans="1:12">
      <c r="A602" t="s">
        <v>793</v>
      </c>
      <c r="B602" t="s">
        <v>324</v>
      </c>
      <c r="C602" t="s">
        <v>210</v>
      </c>
      <c r="D602" t="s">
        <v>211</v>
      </c>
      <c r="E602" t="s">
        <v>818</v>
      </c>
      <c r="F602" t="s">
        <v>819</v>
      </c>
      <c r="G602" t="s">
        <v>981</v>
      </c>
      <c r="H602">
        <v>3227206</v>
      </c>
      <c r="I602" t="s">
        <v>214</v>
      </c>
      <c r="J602" s="14">
        <v>46055</v>
      </c>
      <c r="K602" t="s">
        <v>821</v>
      </c>
      <c r="L602" t="e">
        <f>VLOOKUP(H602,Sheet1!H:H,1,0)</f>
        <v>#N/A</v>
      </c>
    </row>
    <row r="603" spans="1:12">
      <c r="A603" t="s">
        <v>793</v>
      </c>
      <c r="B603" t="s">
        <v>324</v>
      </c>
      <c r="C603" t="s">
        <v>210</v>
      </c>
      <c r="D603" t="s">
        <v>211</v>
      </c>
      <c r="E603" t="s">
        <v>813</v>
      </c>
      <c r="F603" t="s">
        <v>814</v>
      </c>
      <c r="G603" t="s">
        <v>982</v>
      </c>
      <c r="H603">
        <v>3097206</v>
      </c>
      <c r="I603" t="s">
        <v>220</v>
      </c>
      <c r="J603" s="14">
        <v>45617</v>
      </c>
      <c r="K603" t="s">
        <v>816</v>
      </c>
      <c r="L603" t="e">
        <f>VLOOKUP(H603,Sheet1!H:H,1,0)</f>
        <v>#N/A</v>
      </c>
    </row>
    <row r="604" spans="1:12">
      <c r="A604" t="s">
        <v>793</v>
      </c>
      <c r="B604" t="s">
        <v>324</v>
      </c>
      <c r="C604" t="s">
        <v>210</v>
      </c>
      <c r="D604" t="s">
        <v>211</v>
      </c>
      <c r="E604" t="s">
        <v>813</v>
      </c>
      <c r="F604" t="s">
        <v>814</v>
      </c>
      <c r="G604" t="s">
        <v>983</v>
      </c>
      <c r="H604">
        <v>2806606</v>
      </c>
      <c r="I604" t="s">
        <v>214</v>
      </c>
      <c r="J604" s="14">
        <v>44683</v>
      </c>
      <c r="K604" t="s">
        <v>816</v>
      </c>
      <c r="L604" t="e">
        <f>VLOOKUP(H604,Sheet1!H:H,1,0)</f>
        <v>#N/A</v>
      </c>
    </row>
    <row r="605" spans="1:12">
      <c r="A605" t="s">
        <v>793</v>
      </c>
      <c r="B605" t="s">
        <v>324</v>
      </c>
      <c r="C605" t="s">
        <v>429</v>
      </c>
      <c r="D605" t="s">
        <v>211</v>
      </c>
      <c r="E605" t="s">
        <v>818</v>
      </c>
      <c r="F605" t="s">
        <v>819</v>
      </c>
      <c r="G605" t="s">
        <v>984</v>
      </c>
      <c r="H605">
        <v>3083506</v>
      </c>
      <c r="I605" t="s">
        <v>220</v>
      </c>
      <c r="J605" s="14">
        <v>46055</v>
      </c>
      <c r="K605" t="s">
        <v>821</v>
      </c>
      <c r="L605" t="e">
        <f>VLOOKUP(H605,Sheet1!H:H,1,0)</f>
        <v>#N/A</v>
      </c>
    </row>
    <row r="606" spans="1:12">
      <c r="A606" t="s">
        <v>793</v>
      </c>
      <c r="B606" t="s">
        <v>324</v>
      </c>
      <c r="C606" t="s">
        <v>210</v>
      </c>
      <c r="D606" t="s">
        <v>211</v>
      </c>
      <c r="E606" t="s">
        <v>813</v>
      </c>
      <c r="F606" t="s">
        <v>814</v>
      </c>
      <c r="G606" t="s">
        <v>985</v>
      </c>
      <c r="H606">
        <v>3181206</v>
      </c>
      <c r="I606" t="s">
        <v>214</v>
      </c>
      <c r="J606" s="14">
        <v>45967</v>
      </c>
      <c r="K606" t="s">
        <v>816</v>
      </c>
      <c r="L606" t="e">
        <f>VLOOKUP(H606,Sheet1!H:H,1,0)</f>
        <v>#N/A</v>
      </c>
    </row>
    <row r="607" spans="1:12">
      <c r="A607" t="s">
        <v>793</v>
      </c>
      <c r="B607" t="s">
        <v>324</v>
      </c>
      <c r="C607" t="s">
        <v>210</v>
      </c>
      <c r="D607" t="s">
        <v>211</v>
      </c>
      <c r="E607" t="s">
        <v>818</v>
      </c>
      <c r="F607" t="s">
        <v>819</v>
      </c>
      <c r="G607" t="s">
        <v>986</v>
      </c>
      <c r="H607">
        <v>2788706</v>
      </c>
      <c r="I607" t="s">
        <v>422</v>
      </c>
      <c r="J607" s="14">
        <v>44621</v>
      </c>
      <c r="K607" t="s">
        <v>821</v>
      </c>
      <c r="L607" t="e">
        <f>VLOOKUP(H607,Sheet1!H:H,1,0)</f>
        <v>#N/A</v>
      </c>
    </row>
    <row r="608" spans="1:12">
      <c r="A608" t="s">
        <v>793</v>
      </c>
      <c r="B608" t="s">
        <v>324</v>
      </c>
      <c r="C608" t="s">
        <v>210</v>
      </c>
      <c r="D608" t="s">
        <v>211</v>
      </c>
      <c r="E608" t="s">
        <v>818</v>
      </c>
      <c r="F608" t="s">
        <v>819</v>
      </c>
      <c r="G608" t="s">
        <v>987</v>
      </c>
      <c r="H608">
        <v>3203706</v>
      </c>
      <c r="I608" t="s">
        <v>214</v>
      </c>
      <c r="J608" s="14">
        <v>45987</v>
      </c>
      <c r="K608" t="s">
        <v>821</v>
      </c>
      <c r="L608" t="e">
        <f>VLOOKUP(H608,Sheet1!H:H,1,0)</f>
        <v>#N/A</v>
      </c>
    </row>
    <row r="609" spans="1:12">
      <c r="A609" t="s">
        <v>793</v>
      </c>
      <c r="B609" t="s">
        <v>324</v>
      </c>
      <c r="C609" t="s">
        <v>210</v>
      </c>
      <c r="D609" t="s">
        <v>211</v>
      </c>
      <c r="E609" t="s">
        <v>809</v>
      </c>
      <c r="F609" t="s">
        <v>810</v>
      </c>
      <c r="G609" t="s">
        <v>988</v>
      </c>
      <c r="H609">
        <v>3212406</v>
      </c>
      <c r="I609" t="s">
        <v>214</v>
      </c>
      <c r="J609" s="14">
        <v>45992</v>
      </c>
      <c r="K609" t="s">
        <v>812</v>
      </c>
      <c r="L609" t="e">
        <f>VLOOKUP(H609,Sheet1!H:H,1,0)</f>
        <v>#N/A</v>
      </c>
    </row>
    <row r="610" spans="1:12">
      <c r="A610" t="s">
        <v>793</v>
      </c>
      <c r="B610" t="s">
        <v>324</v>
      </c>
      <c r="C610" t="s">
        <v>210</v>
      </c>
      <c r="D610" t="s">
        <v>211</v>
      </c>
      <c r="E610" t="s">
        <v>809</v>
      </c>
      <c r="F610" t="s">
        <v>810</v>
      </c>
      <c r="G610" t="s">
        <v>989</v>
      </c>
      <c r="H610">
        <v>3087106</v>
      </c>
      <c r="I610" t="s">
        <v>214</v>
      </c>
      <c r="J610" s="14">
        <v>45614</v>
      </c>
      <c r="K610" t="s">
        <v>812</v>
      </c>
      <c r="L610" t="e">
        <f>VLOOKUP(H610,Sheet1!H:H,1,0)</f>
        <v>#N/A</v>
      </c>
    </row>
    <row r="611" spans="1:12">
      <c r="A611" t="s">
        <v>793</v>
      </c>
      <c r="B611" t="s">
        <v>324</v>
      </c>
      <c r="C611" t="s">
        <v>210</v>
      </c>
      <c r="D611" t="s">
        <v>211</v>
      </c>
      <c r="E611" t="s">
        <v>809</v>
      </c>
      <c r="F611" t="s">
        <v>823</v>
      </c>
      <c r="G611" t="s">
        <v>990</v>
      </c>
      <c r="H611">
        <v>2425906</v>
      </c>
      <c r="I611" t="s">
        <v>991</v>
      </c>
      <c r="J611" s="14">
        <v>42979</v>
      </c>
      <c r="K611" t="s">
        <v>812</v>
      </c>
      <c r="L611" t="e">
        <f>VLOOKUP(H611,Sheet1!H:H,1,0)</f>
        <v>#N/A</v>
      </c>
    </row>
    <row r="612" spans="1:12">
      <c r="A612" t="s">
        <v>793</v>
      </c>
      <c r="B612" t="s">
        <v>324</v>
      </c>
      <c r="C612" t="s">
        <v>210</v>
      </c>
      <c r="D612" t="s">
        <v>211</v>
      </c>
      <c r="E612" t="s">
        <v>813</v>
      </c>
      <c r="F612" t="s">
        <v>814</v>
      </c>
      <c r="G612" t="s">
        <v>992</v>
      </c>
      <c r="H612">
        <v>2678906</v>
      </c>
      <c r="I612" t="s">
        <v>240</v>
      </c>
      <c r="J612" s="14">
        <v>44186</v>
      </c>
      <c r="K612" t="s">
        <v>816</v>
      </c>
      <c r="L612" t="e">
        <f>VLOOKUP(H612,Sheet1!H:H,1,0)</f>
        <v>#N/A</v>
      </c>
    </row>
    <row r="613" spans="1:12">
      <c r="A613" t="s">
        <v>793</v>
      </c>
      <c r="B613" t="s">
        <v>324</v>
      </c>
      <c r="C613" t="s">
        <v>429</v>
      </c>
      <c r="D613" t="s">
        <v>211</v>
      </c>
      <c r="E613" t="s">
        <v>818</v>
      </c>
      <c r="F613" t="s">
        <v>819</v>
      </c>
      <c r="G613" t="s">
        <v>993</v>
      </c>
      <c r="H613">
        <v>2735506</v>
      </c>
      <c r="I613" t="s">
        <v>575</v>
      </c>
      <c r="J613" s="14">
        <v>44480</v>
      </c>
      <c r="K613" t="s">
        <v>821</v>
      </c>
      <c r="L613" t="e">
        <f>VLOOKUP(H613,Sheet1!H:H,1,0)</f>
        <v>#N/A</v>
      </c>
    </row>
    <row r="614" spans="1:12">
      <c r="A614" t="s">
        <v>793</v>
      </c>
      <c r="B614" t="s">
        <v>324</v>
      </c>
      <c r="C614" t="s">
        <v>210</v>
      </c>
      <c r="D614" t="s">
        <v>287</v>
      </c>
      <c r="E614" t="s">
        <v>822</v>
      </c>
      <c r="F614" t="s">
        <v>823</v>
      </c>
      <c r="G614" t="s">
        <v>994</v>
      </c>
      <c r="H614">
        <v>3166506</v>
      </c>
      <c r="I614" t="s">
        <v>308</v>
      </c>
      <c r="J614" s="14">
        <v>45951</v>
      </c>
      <c r="K614" t="s">
        <v>825</v>
      </c>
      <c r="L614" t="e">
        <f>VLOOKUP(H614,Sheet1!H:H,1,0)</f>
        <v>#N/A</v>
      </c>
    </row>
    <row r="615" spans="1:12">
      <c r="A615" t="s">
        <v>793</v>
      </c>
      <c r="B615" t="s">
        <v>324</v>
      </c>
      <c r="C615" t="s">
        <v>210</v>
      </c>
      <c r="D615" t="s">
        <v>211</v>
      </c>
      <c r="E615" t="s">
        <v>818</v>
      </c>
      <c r="F615" t="s">
        <v>819</v>
      </c>
      <c r="G615" t="s">
        <v>995</v>
      </c>
      <c r="H615">
        <v>3233806</v>
      </c>
      <c r="I615" t="s">
        <v>214</v>
      </c>
      <c r="J615" s="14">
        <v>46083</v>
      </c>
      <c r="K615" t="s">
        <v>821</v>
      </c>
      <c r="L615" t="e">
        <f>VLOOKUP(H615,Sheet1!H:H,1,0)</f>
        <v>#N/A</v>
      </c>
    </row>
    <row r="616" spans="1:12">
      <c r="A616" t="s">
        <v>793</v>
      </c>
      <c r="B616" t="s">
        <v>324</v>
      </c>
      <c r="C616" t="s">
        <v>210</v>
      </c>
      <c r="D616" t="s">
        <v>211</v>
      </c>
      <c r="E616" t="s">
        <v>809</v>
      </c>
      <c r="F616" t="s">
        <v>810</v>
      </c>
      <c r="G616" t="s">
        <v>996</v>
      </c>
      <c r="H616">
        <v>3231806</v>
      </c>
      <c r="I616" t="s">
        <v>214</v>
      </c>
      <c r="J616" s="14">
        <v>46069</v>
      </c>
      <c r="K616" t="s">
        <v>812</v>
      </c>
      <c r="L616" t="e">
        <f>VLOOKUP(H616,Sheet1!H:H,1,0)</f>
        <v>#N/A</v>
      </c>
    </row>
    <row r="617" spans="1:12">
      <c r="A617" t="s">
        <v>793</v>
      </c>
      <c r="B617" t="s">
        <v>324</v>
      </c>
      <c r="C617" t="s">
        <v>210</v>
      </c>
      <c r="D617" t="s">
        <v>211</v>
      </c>
      <c r="E617" t="s">
        <v>809</v>
      </c>
      <c r="F617" t="s">
        <v>810</v>
      </c>
      <c r="G617" t="s">
        <v>997</v>
      </c>
      <c r="H617">
        <v>3087006</v>
      </c>
      <c r="I617" t="s">
        <v>220</v>
      </c>
      <c r="J617" s="14">
        <v>45614</v>
      </c>
      <c r="K617" t="s">
        <v>812</v>
      </c>
      <c r="L617" t="e">
        <f>VLOOKUP(H617,Sheet1!H:H,1,0)</f>
        <v>#N/A</v>
      </c>
    </row>
    <row r="618" spans="1:12">
      <c r="A618" t="s">
        <v>793</v>
      </c>
      <c r="B618" t="s">
        <v>324</v>
      </c>
      <c r="C618" t="s">
        <v>210</v>
      </c>
      <c r="D618" t="s">
        <v>211</v>
      </c>
      <c r="E618" t="s">
        <v>813</v>
      </c>
      <c r="F618" t="s">
        <v>814</v>
      </c>
      <c r="G618" t="s">
        <v>998</v>
      </c>
      <c r="H618">
        <v>3228006</v>
      </c>
      <c r="I618" t="s">
        <v>214</v>
      </c>
      <c r="J618" s="14">
        <v>46055</v>
      </c>
      <c r="K618" t="s">
        <v>816</v>
      </c>
      <c r="L618" t="e">
        <f>VLOOKUP(H618,Sheet1!H:H,1,0)</f>
        <v>#N/A</v>
      </c>
    </row>
    <row r="619" spans="1:12">
      <c r="A619" t="s">
        <v>793</v>
      </c>
      <c r="B619" t="s">
        <v>324</v>
      </c>
      <c r="C619" t="s">
        <v>210</v>
      </c>
      <c r="D619" t="s">
        <v>211</v>
      </c>
      <c r="E619" t="s">
        <v>809</v>
      </c>
      <c r="F619" t="s">
        <v>810</v>
      </c>
      <c r="G619" t="s">
        <v>999</v>
      </c>
      <c r="H619">
        <v>3127406</v>
      </c>
      <c r="I619" t="s">
        <v>214</v>
      </c>
      <c r="J619" s="14">
        <v>45810</v>
      </c>
      <c r="K619" t="s">
        <v>812</v>
      </c>
      <c r="L619" t="e">
        <f>VLOOKUP(H619,Sheet1!H:H,1,0)</f>
        <v>#N/A</v>
      </c>
    </row>
    <row r="620" spans="1:12">
      <c r="A620" t="s">
        <v>793</v>
      </c>
      <c r="B620" t="s">
        <v>324</v>
      </c>
      <c r="C620" t="s">
        <v>210</v>
      </c>
      <c r="D620" t="s">
        <v>287</v>
      </c>
      <c r="E620" t="s">
        <v>864</v>
      </c>
      <c r="F620" t="s">
        <v>823</v>
      </c>
      <c r="G620" t="s">
        <v>1000</v>
      </c>
      <c r="H620">
        <v>2399606</v>
      </c>
      <c r="I620" t="s">
        <v>731</v>
      </c>
      <c r="J620" s="14">
        <v>45628</v>
      </c>
      <c r="K620" t="s">
        <v>831</v>
      </c>
      <c r="L620" t="e">
        <f>VLOOKUP(H620,Sheet1!H:H,1,0)</f>
        <v>#N/A</v>
      </c>
    </row>
    <row r="621" spans="1:12">
      <c r="A621" t="s">
        <v>793</v>
      </c>
      <c r="B621" t="s">
        <v>324</v>
      </c>
      <c r="C621" t="s">
        <v>210</v>
      </c>
      <c r="D621" t="s">
        <v>211</v>
      </c>
      <c r="E621" t="s">
        <v>813</v>
      </c>
      <c r="F621" t="s">
        <v>814</v>
      </c>
      <c r="G621" t="s">
        <v>1001</v>
      </c>
      <c r="H621">
        <v>2882306</v>
      </c>
      <c r="I621" t="s">
        <v>214</v>
      </c>
      <c r="J621" s="14">
        <v>44881</v>
      </c>
      <c r="K621" t="s">
        <v>816</v>
      </c>
      <c r="L621" t="e">
        <f>VLOOKUP(H621,Sheet1!H:H,1,0)</f>
        <v>#N/A</v>
      </c>
    </row>
    <row r="622" spans="1:12">
      <c r="A622" t="s">
        <v>793</v>
      </c>
      <c r="B622" t="s">
        <v>324</v>
      </c>
      <c r="C622" t="s">
        <v>210</v>
      </c>
      <c r="D622" t="s">
        <v>211</v>
      </c>
      <c r="E622" t="s">
        <v>809</v>
      </c>
      <c r="F622" t="s">
        <v>810</v>
      </c>
      <c r="G622" t="s">
        <v>1002</v>
      </c>
      <c r="H622">
        <v>3032206</v>
      </c>
      <c r="I622" t="s">
        <v>424</v>
      </c>
      <c r="J622" s="14">
        <v>45551</v>
      </c>
      <c r="K622" t="s">
        <v>812</v>
      </c>
      <c r="L622" t="e">
        <f>VLOOKUP(H622,Sheet1!H:H,1,0)</f>
        <v>#N/A</v>
      </c>
    </row>
    <row r="623" spans="1:12">
      <c r="A623" t="s">
        <v>793</v>
      </c>
      <c r="B623" t="s">
        <v>324</v>
      </c>
      <c r="C623" t="s">
        <v>210</v>
      </c>
      <c r="D623" t="s">
        <v>211</v>
      </c>
      <c r="E623" t="s">
        <v>813</v>
      </c>
      <c r="F623" t="s">
        <v>814</v>
      </c>
      <c r="G623" t="s">
        <v>1003</v>
      </c>
      <c r="H623">
        <v>3023906</v>
      </c>
      <c r="I623" t="s">
        <v>214</v>
      </c>
      <c r="J623" s="14">
        <v>45516</v>
      </c>
      <c r="K623" t="s">
        <v>816</v>
      </c>
      <c r="L623" t="e">
        <f>VLOOKUP(H623,Sheet1!H:H,1,0)</f>
        <v>#N/A</v>
      </c>
    </row>
    <row r="624" spans="1:12">
      <c r="A624" t="s">
        <v>793</v>
      </c>
      <c r="B624" t="s">
        <v>324</v>
      </c>
      <c r="C624" t="s">
        <v>210</v>
      </c>
      <c r="D624" t="s">
        <v>211</v>
      </c>
      <c r="E624" t="s">
        <v>813</v>
      </c>
      <c r="F624" t="s">
        <v>814</v>
      </c>
      <c r="G624" t="s">
        <v>1004</v>
      </c>
      <c r="H624">
        <v>2996006</v>
      </c>
      <c r="I624" t="s">
        <v>214</v>
      </c>
      <c r="J624" s="14">
        <v>45352</v>
      </c>
      <c r="K624" t="s">
        <v>816</v>
      </c>
      <c r="L624" t="e">
        <f>VLOOKUP(H624,Sheet1!H:H,1,0)</f>
        <v>#N/A</v>
      </c>
    </row>
    <row r="625" spans="1:12">
      <c r="A625" t="s">
        <v>793</v>
      </c>
      <c r="B625" t="s">
        <v>324</v>
      </c>
      <c r="C625" t="s">
        <v>210</v>
      </c>
      <c r="D625" t="s">
        <v>211</v>
      </c>
      <c r="E625" t="s">
        <v>794</v>
      </c>
      <c r="F625" t="s">
        <v>814</v>
      </c>
      <c r="G625" t="s">
        <v>816</v>
      </c>
      <c r="H625">
        <v>1734406</v>
      </c>
      <c r="I625" t="s">
        <v>465</v>
      </c>
      <c r="J625" s="14">
        <v>41442</v>
      </c>
      <c r="K625" t="s">
        <v>797</v>
      </c>
      <c r="L625" t="e">
        <f>VLOOKUP(H625,Sheet1!H:H,1,0)</f>
        <v>#N/A</v>
      </c>
    </row>
    <row r="626" spans="1:12">
      <c r="A626" t="s">
        <v>793</v>
      </c>
      <c r="B626" t="s">
        <v>324</v>
      </c>
      <c r="C626" t="s">
        <v>210</v>
      </c>
      <c r="D626" t="s">
        <v>211</v>
      </c>
      <c r="E626" t="s">
        <v>813</v>
      </c>
      <c r="F626" t="s">
        <v>814</v>
      </c>
      <c r="G626" t="s">
        <v>1005</v>
      </c>
      <c r="H626">
        <v>3155206</v>
      </c>
      <c r="I626" t="s">
        <v>214</v>
      </c>
      <c r="J626" s="14">
        <v>45931</v>
      </c>
      <c r="K626" t="s">
        <v>816</v>
      </c>
      <c r="L626" t="e">
        <f>VLOOKUP(H626,Sheet1!H:H,1,0)</f>
        <v>#N/A</v>
      </c>
    </row>
    <row r="627" spans="1:12">
      <c r="A627" t="s">
        <v>793</v>
      </c>
      <c r="B627" t="s">
        <v>324</v>
      </c>
      <c r="C627" t="s">
        <v>210</v>
      </c>
      <c r="D627" t="s">
        <v>211</v>
      </c>
      <c r="E627" t="s">
        <v>809</v>
      </c>
      <c r="F627" t="s">
        <v>810</v>
      </c>
      <c r="G627" t="s">
        <v>1006</v>
      </c>
      <c r="H627">
        <v>1606406</v>
      </c>
      <c r="I627" t="s">
        <v>690</v>
      </c>
      <c r="J627" s="14">
        <v>40391</v>
      </c>
      <c r="K627" t="s">
        <v>812</v>
      </c>
      <c r="L627" t="e">
        <f>VLOOKUP(H627,Sheet1!H:H,1,0)</f>
        <v>#N/A</v>
      </c>
    </row>
    <row r="628" spans="1:12">
      <c r="A628" t="s">
        <v>793</v>
      </c>
      <c r="B628" t="s">
        <v>324</v>
      </c>
      <c r="C628" t="s">
        <v>210</v>
      </c>
      <c r="D628" t="s">
        <v>211</v>
      </c>
      <c r="E628" t="s">
        <v>813</v>
      </c>
      <c r="F628" t="s">
        <v>814</v>
      </c>
      <c r="G628" t="s">
        <v>1007</v>
      </c>
      <c r="H628">
        <v>3127306</v>
      </c>
      <c r="I628" t="s">
        <v>214</v>
      </c>
      <c r="J628" s="14">
        <v>45810</v>
      </c>
      <c r="K628" t="s">
        <v>816</v>
      </c>
      <c r="L628" t="e">
        <f>VLOOKUP(H628,Sheet1!H:H,1,0)</f>
        <v>#N/A</v>
      </c>
    </row>
    <row r="629" spans="1:12">
      <c r="A629" t="s">
        <v>793</v>
      </c>
      <c r="B629" t="s">
        <v>324</v>
      </c>
      <c r="C629" t="s">
        <v>210</v>
      </c>
      <c r="D629" t="s">
        <v>211</v>
      </c>
      <c r="E629" t="s">
        <v>813</v>
      </c>
      <c r="F629" t="s">
        <v>814</v>
      </c>
      <c r="G629" t="s">
        <v>1008</v>
      </c>
      <c r="H629">
        <v>2709806</v>
      </c>
      <c r="I629" t="s">
        <v>422</v>
      </c>
      <c r="J629" s="14">
        <v>44502</v>
      </c>
      <c r="K629" t="s">
        <v>816</v>
      </c>
      <c r="L629" t="e">
        <f>VLOOKUP(H629,Sheet1!H:H,1,0)</f>
        <v>#N/A</v>
      </c>
    </row>
    <row r="630" spans="1:12">
      <c r="A630" t="s">
        <v>793</v>
      </c>
      <c r="B630" t="s">
        <v>324</v>
      </c>
      <c r="C630" t="s">
        <v>210</v>
      </c>
      <c r="D630" t="s">
        <v>211</v>
      </c>
      <c r="E630" t="s">
        <v>813</v>
      </c>
      <c r="F630" t="s">
        <v>814</v>
      </c>
      <c r="G630" t="s">
        <v>1009</v>
      </c>
      <c r="H630">
        <v>2754706</v>
      </c>
      <c r="I630" t="s">
        <v>507</v>
      </c>
      <c r="J630" s="14">
        <v>44502</v>
      </c>
      <c r="K630" t="s">
        <v>816</v>
      </c>
      <c r="L630" t="e">
        <f>VLOOKUP(H630,Sheet1!H:H,1,0)</f>
        <v>#N/A</v>
      </c>
    </row>
    <row r="631" spans="1:12">
      <c r="A631" t="s">
        <v>793</v>
      </c>
      <c r="B631" t="s">
        <v>263</v>
      </c>
      <c r="C631" t="s">
        <v>210</v>
      </c>
      <c r="D631" t="s">
        <v>211</v>
      </c>
      <c r="E631" t="s">
        <v>1010</v>
      </c>
      <c r="F631" t="s">
        <v>1011</v>
      </c>
      <c r="G631" t="s">
        <v>1012</v>
      </c>
      <c r="H631">
        <v>3120106</v>
      </c>
      <c r="I631" t="s">
        <v>220</v>
      </c>
      <c r="J631" s="14">
        <v>45750</v>
      </c>
      <c r="K631" t="s">
        <v>1013</v>
      </c>
      <c r="L631" t="e">
        <f>VLOOKUP(H631,Sheet1!H:H,1,0)</f>
        <v>#N/A</v>
      </c>
    </row>
    <row r="632" spans="1:12">
      <c r="A632" t="s">
        <v>793</v>
      </c>
      <c r="B632" t="s">
        <v>263</v>
      </c>
      <c r="C632" t="s">
        <v>210</v>
      </c>
      <c r="D632" t="s">
        <v>211</v>
      </c>
      <c r="E632" t="s">
        <v>1010</v>
      </c>
      <c r="F632" t="s">
        <v>1011</v>
      </c>
      <c r="G632" t="s">
        <v>1014</v>
      </c>
      <c r="H632">
        <v>2901506</v>
      </c>
      <c r="I632" t="s">
        <v>214</v>
      </c>
      <c r="J632" s="14">
        <v>45589</v>
      </c>
      <c r="K632" t="s">
        <v>1013</v>
      </c>
      <c r="L632" t="e">
        <f>VLOOKUP(H632,Sheet1!H:H,1,0)</f>
        <v>#N/A</v>
      </c>
    </row>
    <row r="633" spans="1:12">
      <c r="A633" t="s">
        <v>793</v>
      </c>
      <c r="B633" t="s">
        <v>263</v>
      </c>
      <c r="C633" t="s">
        <v>210</v>
      </c>
      <c r="D633" t="s">
        <v>211</v>
      </c>
      <c r="E633" t="s">
        <v>1010</v>
      </c>
      <c r="F633" t="s">
        <v>1011</v>
      </c>
      <c r="G633" t="s">
        <v>1015</v>
      </c>
      <c r="H633">
        <v>2585906</v>
      </c>
      <c r="I633" t="s">
        <v>214</v>
      </c>
      <c r="J633" s="14">
        <v>44137</v>
      </c>
      <c r="K633" t="s">
        <v>1013</v>
      </c>
      <c r="L633" t="e">
        <f>VLOOKUP(H633,Sheet1!H:H,1,0)</f>
        <v>#N/A</v>
      </c>
    </row>
    <row r="634" spans="1:12">
      <c r="A634" t="s">
        <v>793</v>
      </c>
      <c r="B634" t="s">
        <v>263</v>
      </c>
      <c r="C634" t="s">
        <v>210</v>
      </c>
      <c r="D634" t="s">
        <v>211</v>
      </c>
      <c r="E634" t="s">
        <v>1010</v>
      </c>
      <c r="F634" t="s">
        <v>1011</v>
      </c>
      <c r="G634" t="s">
        <v>1016</v>
      </c>
      <c r="H634">
        <v>3128906</v>
      </c>
      <c r="I634" t="s">
        <v>214</v>
      </c>
      <c r="J634" s="14">
        <v>45985</v>
      </c>
      <c r="K634" t="s">
        <v>1013</v>
      </c>
      <c r="L634" t="e">
        <f>VLOOKUP(H634,Sheet1!H:H,1,0)</f>
        <v>#N/A</v>
      </c>
    </row>
    <row r="635" spans="1:12">
      <c r="A635" t="s">
        <v>793</v>
      </c>
      <c r="B635" t="s">
        <v>263</v>
      </c>
      <c r="C635" t="s">
        <v>210</v>
      </c>
      <c r="D635" t="s">
        <v>211</v>
      </c>
      <c r="E635" t="s">
        <v>1010</v>
      </c>
      <c r="F635" t="s">
        <v>1011</v>
      </c>
      <c r="G635" t="s">
        <v>1017</v>
      </c>
      <c r="H635">
        <v>1793706</v>
      </c>
      <c r="I635" t="s">
        <v>222</v>
      </c>
      <c r="J635" s="14">
        <v>43503</v>
      </c>
      <c r="K635" t="s">
        <v>1013</v>
      </c>
      <c r="L635" t="e">
        <f>VLOOKUP(H635,Sheet1!H:H,1,0)</f>
        <v>#N/A</v>
      </c>
    </row>
    <row r="636" spans="1:12">
      <c r="A636" t="s">
        <v>793</v>
      </c>
      <c r="B636" t="s">
        <v>263</v>
      </c>
      <c r="C636" t="s">
        <v>210</v>
      </c>
      <c r="D636" t="s">
        <v>211</v>
      </c>
      <c r="E636" t="s">
        <v>794</v>
      </c>
      <c r="F636" t="s">
        <v>1011</v>
      </c>
      <c r="G636" t="s">
        <v>1013</v>
      </c>
      <c r="H636">
        <v>1763406</v>
      </c>
      <c r="I636" t="s">
        <v>225</v>
      </c>
      <c r="J636" s="14">
        <v>40973</v>
      </c>
      <c r="K636" t="s">
        <v>797</v>
      </c>
      <c r="L636" t="e">
        <f>VLOOKUP(H636,Sheet1!H:H,1,0)</f>
        <v>#N/A</v>
      </c>
    </row>
    <row r="637" spans="1:12">
      <c r="A637" t="s">
        <v>793</v>
      </c>
      <c r="B637" t="s">
        <v>263</v>
      </c>
      <c r="C637" t="s">
        <v>210</v>
      </c>
      <c r="D637" t="s">
        <v>211</v>
      </c>
      <c r="E637" t="s">
        <v>1010</v>
      </c>
      <c r="F637" t="s">
        <v>1011</v>
      </c>
      <c r="G637" t="s">
        <v>1018</v>
      </c>
      <c r="H637">
        <v>3036506</v>
      </c>
      <c r="I637" t="s">
        <v>214</v>
      </c>
      <c r="J637" s="14">
        <v>45555</v>
      </c>
      <c r="K637" t="s">
        <v>1013</v>
      </c>
      <c r="L637" t="e">
        <f>VLOOKUP(H637,Sheet1!H:H,1,0)</f>
        <v>#N/A</v>
      </c>
    </row>
    <row r="638" spans="1:12">
      <c r="A638" t="s">
        <v>793</v>
      </c>
      <c r="B638" t="s">
        <v>263</v>
      </c>
      <c r="C638" t="s">
        <v>210</v>
      </c>
      <c r="D638" t="s">
        <v>211</v>
      </c>
      <c r="E638" t="s">
        <v>1010</v>
      </c>
      <c r="F638" t="s">
        <v>1011</v>
      </c>
      <c r="G638" t="s">
        <v>1019</v>
      </c>
      <c r="H638">
        <v>2783906</v>
      </c>
      <c r="I638" t="s">
        <v>214</v>
      </c>
      <c r="J638" s="14">
        <v>44578</v>
      </c>
      <c r="K638" t="s">
        <v>1013</v>
      </c>
      <c r="L638" t="e">
        <f>VLOOKUP(H638,Sheet1!H:H,1,0)</f>
        <v>#N/A</v>
      </c>
    </row>
    <row r="639" spans="1:12">
      <c r="A639" t="s">
        <v>793</v>
      </c>
      <c r="B639" t="s">
        <v>263</v>
      </c>
      <c r="C639" t="s">
        <v>210</v>
      </c>
      <c r="D639" t="s">
        <v>211</v>
      </c>
      <c r="E639" t="s">
        <v>1010</v>
      </c>
      <c r="F639" t="s">
        <v>1011</v>
      </c>
      <c r="G639" t="s">
        <v>1020</v>
      </c>
      <c r="H639">
        <v>2556806</v>
      </c>
      <c r="I639" t="s">
        <v>214</v>
      </c>
      <c r="J639" s="14">
        <v>43500</v>
      </c>
      <c r="K639" t="s">
        <v>1013</v>
      </c>
      <c r="L639" t="e">
        <f>VLOOKUP(H639,Sheet1!H:H,1,0)</f>
        <v>#N/A</v>
      </c>
    </row>
    <row r="640" spans="1:12">
      <c r="A640" t="s">
        <v>793</v>
      </c>
      <c r="B640" t="s">
        <v>263</v>
      </c>
      <c r="C640" t="s">
        <v>210</v>
      </c>
      <c r="D640" t="s">
        <v>211</v>
      </c>
      <c r="E640" t="s">
        <v>1010</v>
      </c>
      <c r="F640" t="s">
        <v>1011</v>
      </c>
      <c r="G640" t="s">
        <v>1021</v>
      </c>
      <c r="H640">
        <v>1820806</v>
      </c>
      <c r="I640" t="s">
        <v>243</v>
      </c>
      <c r="J640" s="14">
        <v>41220</v>
      </c>
      <c r="K640" t="s">
        <v>1013</v>
      </c>
      <c r="L640" t="e">
        <f>VLOOKUP(H640,Sheet1!H:H,1,0)</f>
        <v>#N/A</v>
      </c>
    </row>
    <row r="641" spans="1:12">
      <c r="A641" t="s">
        <v>793</v>
      </c>
      <c r="B641" t="s">
        <v>263</v>
      </c>
      <c r="C641" t="s">
        <v>210</v>
      </c>
      <c r="D641" t="s">
        <v>211</v>
      </c>
      <c r="E641" t="s">
        <v>1010</v>
      </c>
      <c r="F641" t="s">
        <v>1011</v>
      </c>
      <c r="G641" t="s">
        <v>1022</v>
      </c>
      <c r="H641">
        <v>3036406</v>
      </c>
      <c r="I641" t="s">
        <v>214</v>
      </c>
      <c r="J641" s="14">
        <v>45555</v>
      </c>
      <c r="K641" t="s">
        <v>1013</v>
      </c>
      <c r="L641" t="e">
        <f>VLOOKUP(H641,Sheet1!H:H,1,0)</f>
        <v>#N/A</v>
      </c>
    </row>
    <row r="642" spans="1:12">
      <c r="A642" t="s">
        <v>793</v>
      </c>
      <c r="B642" t="s">
        <v>286</v>
      </c>
      <c r="C642" t="s">
        <v>210</v>
      </c>
      <c r="D642" t="s">
        <v>287</v>
      </c>
      <c r="E642" t="s">
        <v>830</v>
      </c>
      <c r="F642" t="s">
        <v>878</v>
      </c>
      <c r="G642" t="s">
        <v>1023</v>
      </c>
      <c r="H642">
        <v>2348806</v>
      </c>
      <c r="I642" t="s">
        <v>510</v>
      </c>
      <c r="J642" s="14">
        <v>43236</v>
      </c>
      <c r="K642" t="s">
        <v>797</v>
      </c>
      <c r="L642" t="e">
        <f>VLOOKUP(H642,Sheet1!H:H,1,0)</f>
        <v>#N/A</v>
      </c>
    </row>
    <row r="643" spans="1:12">
      <c r="A643" t="s">
        <v>793</v>
      </c>
      <c r="B643" t="s">
        <v>286</v>
      </c>
      <c r="C643" t="s">
        <v>210</v>
      </c>
      <c r="D643" t="s">
        <v>211</v>
      </c>
      <c r="E643" t="s">
        <v>1024</v>
      </c>
      <c r="F643" t="s">
        <v>933</v>
      </c>
      <c r="G643" t="s">
        <v>1025</v>
      </c>
      <c r="H643">
        <v>3108106</v>
      </c>
      <c r="I643" t="s">
        <v>220</v>
      </c>
      <c r="J643" s="14">
        <v>45673</v>
      </c>
      <c r="K643" t="s">
        <v>1026</v>
      </c>
      <c r="L643" t="e">
        <f>VLOOKUP(H643,Sheet1!H:H,1,0)</f>
        <v>#N/A</v>
      </c>
    </row>
    <row r="644" spans="1:12">
      <c r="A644" t="s">
        <v>793</v>
      </c>
      <c r="B644" t="s">
        <v>286</v>
      </c>
      <c r="C644" t="s">
        <v>210</v>
      </c>
      <c r="D644" t="s">
        <v>211</v>
      </c>
      <c r="E644" t="s">
        <v>1027</v>
      </c>
      <c r="F644" t="s">
        <v>1028</v>
      </c>
      <c r="G644" t="s">
        <v>1029</v>
      </c>
      <c r="H644">
        <v>1674606</v>
      </c>
      <c r="I644" t="s">
        <v>214</v>
      </c>
      <c r="J644" s="14">
        <v>40672</v>
      </c>
      <c r="K644" t="s">
        <v>1030</v>
      </c>
      <c r="L644" t="e">
        <f>VLOOKUP(H644,Sheet1!H:H,1,0)</f>
        <v>#N/A</v>
      </c>
    </row>
    <row r="645" spans="1:12">
      <c r="A645" t="s">
        <v>793</v>
      </c>
      <c r="B645" t="s">
        <v>286</v>
      </c>
      <c r="C645" t="s">
        <v>210</v>
      </c>
      <c r="D645" t="s">
        <v>211</v>
      </c>
      <c r="E645" t="s">
        <v>1031</v>
      </c>
      <c r="F645" t="s">
        <v>1032</v>
      </c>
      <c r="G645" t="s">
        <v>1033</v>
      </c>
      <c r="H645">
        <v>3237306</v>
      </c>
      <c r="I645" t="s">
        <v>220</v>
      </c>
      <c r="J645" s="14">
        <v>46097</v>
      </c>
      <c r="K645" t="s">
        <v>1034</v>
      </c>
      <c r="L645" t="e">
        <f>VLOOKUP(H645,Sheet1!H:H,1,0)</f>
        <v>#N/A</v>
      </c>
    </row>
    <row r="646" spans="1:12">
      <c r="A646" t="s">
        <v>793</v>
      </c>
      <c r="B646" t="s">
        <v>286</v>
      </c>
      <c r="C646" t="s">
        <v>210</v>
      </c>
      <c r="D646" t="s">
        <v>211</v>
      </c>
      <c r="E646" t="s">
        <v>1031</v>
      </c>
      <c r="F646" t="s">
        <v>1032</v>
      </c>
      <c r="G646" t="s">
        <v>1035</v>
      </c>
      <c r="H646">
        <v>3237406</v>
      </c>
      <c r="I646" t="s">
        <v>214</v>
      </c>
      <c r="J646" s="14">
        <v>46097</v>
      </c>
      <c r="K646" t="s">
        <v>1034</v>
      </c>
      <c r="L646" t="e">
        <f>VLOOKUP(H646,Sheet1!H:H,1,0)</f>
        <v>#N/A</v>
      </c>
    </row>
    <row r="647" spans="1:12">
      <c r="A647" t="s">
        <v>793</v>
      </c>
      <c r="B647" t="s">
        <v>286</v>
      </c>
      <c r="C647" t="s">
        <v>210</v>
      </c>
      <c r="D647" t="s">
        <v>211</v>
      </c>
      <c r="E647" t="s">
        <v>1031</v>
      </c>
      <c r="F647" t="s">
        <v>1032</v>
      </c>
      <c r="G647" t="s">
        <v>1036</v>
      </c>
      <c r="H647">
        <v>3228306</v>
      </c>
      <c r="I647" t="s">
        <v>214</v>
      </c>
      <c r="J647" s="14">
        <v>46055</v>
      </c>
      <c r="K647" t="s">
        <v>1034</v>
      </c>
      <c r="L647" t="e">
        <f>VLOOKUP(H647,Sheet1!H:H,1,0)</f>
        <v>#N/A</v>
      </c>
    </row>
    <row r="648" spans="1:12">
      <c r="A648" t="s">
        <v>793</v>
      </c>
      <c r="B648" t="s">
        <v>286</v>
      </c>
      <c r="C648" t="s">
        <v>210</v>
      </c>
      <c r="D648" t="s">
        <v>211</v>
      </c>
      <c r="E648" t="s">
        <v>1027</v>
      </c>
      <c r="F648" t="s">
        <v>1028</v>
      </c>
      <c r="G648" t="s">
        <v>1037</v>
      </c>
      <c r="H648">
        <v>2928106</v>
      </c>
      <c r="I648" t="s">
        <v>214</v>
      </c>
      <c r="J648" s="14">
        <v>45119</v>
      </c>
      <c r="K648" t="s">
        <v>1030</v>
      </c>
      <c r="L648" t="e">
        <f>VLOOKUP(H648,Sheet1!H:H,1,0)</f>
        <v>#N/A</v>
      </c>
    </row>
    <row r="649" spans="1:12">
      <c r="A649" t="s">
        <v>793</v>
      </c>
      <c r="B649" t="s">
        <v>293</v>
      </c>
      <c r="C649" t="s">
        <v>210</v>
      </c>
      <c r="D649" t="s">
        <v>287</v>
      </c>
      <c r="E649" t="s">
        <v>833</v>
      </c>
      <c r="F649" t="s">
        <v>870</v>
      </c>
      <c r="G649" t="s">
        <v>1038</v>
      </c>
      <c r="H649">
        <v>3084806</v>
      </c>
      <c r="I649" t="s">
        <v>628</v>
      </c>
      <c r="J649" s="14">
        <v>45616</v>
      </c>
      <c r="K649" t="s">
        <v>835</v>
      </c>
      <c r="L649" t="e">
        <f>VLOOKUP(H649,Sheet1!H:H,1,0)</f>
        <v>#N/A</v>
      </c>
    </row>
    <row r="650" spans="1:12">
      <c r="A650" t="s">
        <v>793</v>
      </c>
      <c r="B650" t="s">
        <v>286</v>
      </c>
      <c r="C650" t="s">
        <v>210</v>
      </c>
      <c r="D650" t="s">
        <v>211</v>
      </c>
      <c r="E650" t="s">
        <v>1027</v>
      </c>
      <c r="F650" t="s">
        <v>933</v>
      </c>
      <c r="G650" t="s">
        <v>1039</v>
      </c>
      <c r="H650">
        <v>3207106</v>
      </c>
      <c r="I650" t="s">
        <v>214</v>
      </c>
      <c r="J650" s="14">
        <v>46055</v>
      </c>
      <c r="K650" t="s">
        <v>1030</v>
      </c>
      <c r="L650" t="e">
        <f>VLOOKUP(H650,Sheet1!H:H,1,0)</f>
        <v>#N/A</v>
      </c>
    </row>
    <row r="651" spans="1:12">
      <c r="A651" t="s">
        <v>793</v>
      </c>
      <c r="B651" t="s">
        <v>286</v>
      </c>
      <c r="C651" t="s">
        <v>210</v>
      </c>
      <c r="D651" t="s">
        <v>211</v>
      </c>
      <c r="E651" t="s">
        <v>794</v>
      </c>
      <c r="F651" t="s">
        <v>1028</v>
      </c>
      <c r="G651" t="s">
        <v>1030</v>
      </c>
      <c r="H651">
        <v>2560106</v>
      </c>
      <c r="I651" t="s">
        <v>225</v>
      </c>
      <c r="J651" s="14">
        <v>44835</v>
      </c>
      <c r="K651" t="s">
        <v>797</v>
      </c>
      <c r="L651" t="e">
        <f>VLOOKUP(H651,Sheet1!H:H,1,0)</f>
        <v>#N/A</v>
      </c>
    </row>
    <row r="652" spans="1:12">
      <c r="A652" t="s">
        <v>793</v>
      </c>
      <c r="B652" t="s">
        <v>324</v>
      </c>
      <c r="C652" t="s">
        <v>210</v>
      </c>
      <c r="D652" t="s">
        <v>287</v>
      </c>
      <c r="E652" t="s">
        <v>830</v>
      </c>
      <c r="F652" t="s">
        <v>823</v>
      </c>
      <c r="G652" t="s">
        <v>880</v>
      </c>
      <c r="H652">
        <v>1359306</v>
      </c>
      <c r="I652" t="s">
        <v>488</v>
      </c>
      <c r="J652" s="14">
        <v>39363</v>
      </c>
      <c r="K652" t="s">
        <v>797</v>
      </c>
      <c r="L652" t="e">
        <f>VLOOKUP(H652,Sheet1!H:H,1,0)</f>
        <v>#N/A</v>
      </c>
    </row>
    <row r="653" spans="1:12">
      <c r="A653" t="s">
        <v>793</v>
      </c>
      <c r="B653" t="s">
        <v>286</v>
      </c>
      <c r="C653" t="s">
        <v>210</v>
      </c>
      <c r="D653" t="s">
        <v>211</v>
      </c>
      <c r="E653" t="s">
        <v>794</v>
      </c>
      <c r="F653" t="s">
        <v>1032</v>
      </c>
      <c r="G653" t="s">
        <v>1034</v>
      </c>
      <c r="H653">
        <v>1527706</v>
      </c>
      <c r="I653" t="s">
        <v>225</v>
      </c>
      <c r="J653" s="14">
        <v>40030</v>
      </c>
      <c r="K653" t="s">
        <v>797</v>
      </c>
      <c r="L653" t="e">
        <f>VLOOKUP(H653,Sheet1!H:H,1,0)</f>
        <v>#N/A</v>
      </c>
    </row>
    <row r="654" spans="1:12">
      <c r="A654" t="s">
        <v>793</v>
      </c>
      <c r="B654" t="s">
        <v>286</v>
      </c>
      <c r="C654" t="s">
        <v>210</v>
      </c>
      <c r="D654" t="s">
        <v>211</v>
      </c>
      <c r="E654" t="s">
        <v>1024</v>
      </c>
      <c r="F654" t="s">
        <v>933</v>
      </c>
      <c r="G654" t="s">
        <v>1040</v>
      </c>
      <c r="H654">
        <v>2868206</v>
      </c>
      <c r="I654" t="s">
        <v>214</v>
      </c>
      <c r="J654" s="14">
        <v>44867</v>
      </c>
      <c r="K654" t="s">
        <v>1026</v>
      </c>
      <c r="L654" t="e">
        <f>VLOOKUP(H654,Sheet1!H:H,1,0)</f>
        <v>#N/A</v>
      </c>
    </row>
    <row r="655" spans="1:12">
      <c r="A655" t="s">
        <v>793</v>
      </c>
      <c r="B655" t="s">
        <v>286</v>
      </c>
      <c r="C655" t="s">
        <v>210</v>
      </c>
      <c r="D655" t="s">
        <v>211</v>
      </c>
      <c r="E655" t="s">
        <v>1024</v>
      </c>
      <c r="F655" t="s">
        <v>933</v>
      </c>
      <c r="G655" t="s">
        <v>1041</v>
      </c>
      <c r="H655">
        <v>3094706</v>
      </c>
      <c r="I655" t="s">
        <v>220</v>
      </c>
      <c r="J655" s="14">
        <v>45614</v>
      </c>
      <c r="K655" t="s">
        <v>1026</v>
      </c>
      <c r="L655" t="e">
        <f>VLOOKUP(H655,Sheet1!H:H,1,0)</f>
        <v>#N/A</v>
      </c>
    </row>
    <row r="656" spans="1:12">
      <c r="A656" t="s">
        <v>793</v>
      </c>
      <c r="B656" t="s">
        <v>286</v>
      </c>
      <c r="C656" t="s">
        <v>210</v>
      </c>
      <c r="D656" t="s">
        <v>211</v>
      </c>
      <c r="E656" t="s">
        <v>1031</v>
      </c>
      <c r="F656" t="s">
        <v>1032</v>
      </c>
      <c r="G656" t="s">
        <v>1042</v>
      </c>
      <c r="H656">
        <v>2766006</v>
      </c>
      <c r="I656" t="s">
        <v>243</v>
      </c>
      <c r="J656" s="14">
        <v>44728</v>
      </c>
      <c r="K656" t="s">
        <v>1034</v>
      </c>
      <c r="L656" t="e">
        <f>VLOOKUP(H656,Sheet1!H:H,1,0)</f>
        <v>#N/A</v>
      </c>
    </row>
    <row r="657" spans="1:12">
      <c r="A657" t="s">
        <v>793</v>
      </c>
      <c r="B657" t="s">
        <v>286</v>
      </c>
      <c r="C657" t="s">
        <v>210</v>
      </c>
      <c r="D657" t="s">
        <v>211</v>
      </c>
      <c r="E657" t="s">
        <v>1024</v>
      </c>
      <c r="F657" t="s">
        <v>933</v>
      </c>
      <c r="G657" t="s">
        <v>1043</v>
      </c>
      <c r="H657">
        <v>2822506</v>
      </c>
      <c r="I657" t="s">
        <v>214</v>
      </c>
      <c r="J657" s="14">
        <v>45187</v>
      </c>
      <c r="K657" t="s">
        <v>1026</v>
      </c>
      <c r="L657" t="e">
        <f>VLOOKUP(H657,Sheet1!H:H,1,0)</f>
        <v>#N/A</v>
      </c>
    </row>
    <row r="658" spans="1:12">
      <c r="A658" t="s">
        <v>793</v>
      </c>
      <c r="B658" t="s">
        <v>286</v>
      </c>
      <c r="C658" t="s">
        <v>210</v>
      </c>
      <c r="D658" t="s">
        <v>211</v>
      </c>
      <c r="E658" t="s">
        <v>1027</v>
      </c>
      <c r="F658" t="s">
        <v>1028</v>
      </c>
      <c r="G658" t="s">
        <v>1044</v>
      </c>
      <c r="H658">
        <v>2356206</v>
      </c>
      <c r="I658" t="s">
        <v>222</v>
      </c>
      <c r="J658" s="14">
        <v>43864</v>
      </c>
      <c r="K658" t="s">
        <v>1030</v>
      </c>
      <c r="L658" t="e">
        <f>VLOOKUP(H658,Sheet1!H:H,1,0)</f>
        <v>#N/A</v>
      </c>
    </row>
    <row r="659" spans="1:12">
      <c r="A659" t="s">
        <v>793</v>
      </c>
      <c r="B659" t="s">
        <v>286</v>
      </c>
      <c r="C659" t="s">
        <v>210</v>
      </c>
      <c r="D659" t="s">
        <v>211</v>
      </c>
      <c r="E659" t="s">
        <v>1024</v>
      </c>
      <c r="F659" t="s">
        <v>933</v>
      </c>
      <c r="G659" t="s">
        <v>1045</v>
      </c>
      <c r="H659">
        <v>3222506</v>
      </c>
      <c r="I659" t="s">
        <v>214</v>
      </c>
      <c r="J659" s="14">
        <v>46038</v>
      </c>
      <c r="K659" t="s">
        <v>1026</v>
      </c>
      <c r="L659" t="e">
        <f>VLOOKUP(H659,Sheet1!H:H,1,0)</f>
        <v>#N/A</v>
      </c>
    </row>
    <row r="660" spans="1:12">
      <c r="A660" t="s">
        <v>793</v>
      </c>
      <c r="B660" t="s">
        <v>286</v>
      </c>
      <c r="C660" t="s">
        <v>210</v>
      </c>
      <c r="D660" t="s">
        <v>211</v>
      </c>
      <c r="E660" t="s">
        <v>1031</v>
      </c>
      <c r="F660" t="s">
        <v>1032</v>
      </c>
      <c r="G660" t="s">
        <v>1046</v>
      </c>
      <c r="H660">
        <v>3016106</v>
      </c>
      <c r="I660" t="s">
        <v>214</v>
      </c>
      <c r="J660" s="14">
        <v>45460</v>
      </c>
      <c r="K660" t="s">
        <v>1034</v>
      </c>
      <c r="L660" t="e">
        <f>VLOOKUP(H660,Sheet1!H:H,1,0)</f>
        <v>#N/A</v>
      </c>
    </row>
    <row r="661" spans="1:12">
      <c r="A661" t="s">
        <v>793</v>
      </c>
      <c r="B661" t="s">
        <v>286</v>
      </c>
      <c r="C661" t="s">
        <v>210</v>
      </c>
      <c r="D661" t="s">
        <v>211</v>
      </c>
      <c r="E661" t="s">
        <v>1031</v>
      </c>
      <c r="F661" t="s">
        <v>1032</v>
      </c>
      <c r="G661" t="s">
        <v>1047</v>
      </c>
      <c r="H661">
        <v>3233906</v>
      </c>
      <c r="I661" t="s">
        <v>214</v>
      </c>
      <c r="J661" s="14">
        <v>46083</v>
      </c>
      <c r="K661" t="s">
        <v>1034</v>
      </c>
      <c r="L661" t="e">
        <f>VLOOKUP(H661,Sheet1!H:H,1,0)</f>
        <v>#N/A</v>
      </c>
    </row>
    <row r="662" spans="1:12">
      <c r="A662" t="s">
        <v>793</v>
      </c>
      <c r="B662" t="s">
        <v>209</v>
      </c>
      <c r="C662" t="s">
        <v>210</v>
      </c>
      <c r="D662" t="s">
        <v>287</v>
      </c>
      <c r="E662" t="s">
        <v>908</v>
      </c>
      <c r="F662" t="s">
        <v>1048</v>
      </c>
      <c r="G662" t="s">
        <v>1049</v>
      </c>
      <c r="H662">
        <v>3158506</v>
      </c>
      <c r="I662" t="s">
        <v>688</v>
      </c>
      <c r="J662" s="14">
        <v>45932</v>
      </c>
      <c r="K662" t="s">
        <v>868</v>
      </c>
      <c r="L662" t="e">
        <f>VLOOKUP(H662,Sheet1!H:H,1,0)</f>
        <v>#N/A</v>
      </c>
    </row>
    <row r="663" spans="1:12">
      <c r="A663" t="s">
        <v>793</v>
      </c>
      <c r="B663" t="s">
        <v>286</v>
      </c>
      <c r="C663" t="s">
        <v>210</v>
      </c>
      <c r="D663" t="s">
        <v>211</v>
      </c>
      <c r="E663" t="s">
        <v>1024</v>
      </c>
      <c r="F663" t="s">
        <v>933</v>
      </c>
      <c r="G663" t="s">
        <v>1050</v>
      </c>
      <c r="H663">
        <v>3010906</v>
      </c>
      <c r="I663" t="s">
        <v>214</v>
      </c>
      <c r="J663" s="14">
        <v>45428</v>
      </c>
      <c r="K663" t="s">
        <v>1026</v>
      </c>
      <c r="L663" t="e">
        <f>VLOOKUP(H663,Sheet1!H:H,1,0)</f>
        <v>#N/A</v>
      </c>
    </row>
    <row r="664" spans="1:12">
      <c r="A664" t="s">
        <v>793</v>
      </c>
      <c r="B664" t="s">
        <v>286</v>
      </c>
      <c r="C664" t="s">
        <v>210</v>
      </c>
      <c r="D664" t="s">
        <v>211</v>
      </c>
      <c r="E664" t="s">
        <v>1024</v>
      </c>
      <c r="F664" t="s">
        <v>933</v>
      </c>
      <c r="G664" t="s">
        <v>1051</v>
      </c>
      <c r="H664">
        <v>2414906</v>
      </c>
      <c r="I664" t="s">
        <v>222</v>
      </c>
      <c r="J664" s="14">
        <v>42948</v>
      </c>
      <c r="K664" t="s">
        <v>1026</v>
      </c>
      <c r="L664" t="e">
        <f>VLOOKUP(H664,Sheet1!H:H,1,0)</f>
        <v>#N/A</v>
      </c>
    </row>
    <row r="665" spans="1:12">
      <c r="A665" t="s">
        <v>793</v>
      </c>
      <c r="B665" t="s">
        <v>286</v>
      </c>
      <c r="C665" t="s">
        <v>210</v>
      </c>
      <c r="D665" t="s">
        <v>211</v>
      </c>
      <c r="E665" t="s">
        <v>1031</v>
      </c>
      <c r="F665" t="s">
        <v>1032</v>
      </c>
      <c r="G665" t="s">
        <v>1052</v>
      </c>
      <c r="H665">
        <v>3067006</v>
      </c>
      <c r="I665" t="s">
        <v>220</v>
      </c>
      <c r="J665" s="14">
        <v>45601</v>
      </c>
      <c r="K665" t="s">
        <v>1034</v>
      </c>
      <c r="L665" t="e">
        <f>VLOOKUP(H665,Sheet1!H:H,1,0)</f>
        <v>#N/A</v>
      </c>
    </row>
    <row r="666" spans="1:12">
      <c r="A666" t="s">
        <v>793</v>
      </c>
      <c r="B666" t="s">
        <v>286</v>
      </c>
      <c r="C666" t="s">
        <v>210</v>
      </c>
      <c r="D666" t="s">
        <v>211</v>
      </c>
      <c r="E666" t="s">
        <v>1024</v>
      </c>
      <c r="F666" t="s">
        <v>933</v>
      </c>
      <c r="G666" t="s">
        <v>1053</v>
      </c>
      <c r="H666">
        <v>2925406</v>
      </c>
      <c r="I666" t="s">
        <v>761</v>
      </c>
      <c r="J666" s="14">
        <v>45093</v>
      </c>
      <c r="K666" t="s">
        <v>1026</v>
      </c>
      <c r="L666" t="e">
        <f>VLOOKUP(H666,Sheet1!H:H,1,0)</f>
        <v>#N/A</v>
      </c>
    </row>
    <row r="667" spans="1:12">
      <c r="A667" t="s">
        <v>793</v>
      </c>
      <c r="B667" t="s">
        <v>286</v>
      </c>
      <c r="C667" t="s">
        <v>210</v>
      </c>
      <c r="D667" t="s">
        <v>211</v>
      </c>
      <c r="E667" t="s">
        <v>1031</v>
      </c>
      <c r="F667" t="s">
        <v>1032</v>
      </c>
      <c r="G667" t="s">
        <v>1054</v>
      </c>
      <c r="H667">
        <v>3133406</v>
      </c>
      <c r="I667" t="s">
        <v>220</v>
      </c>
      <c r="J667" s="14">
        <v>45845</v>
      </c>
      <c r="K667" t="s">
        <v>1034</v>
      </c>
      <c r="L667" t="e">
        <f>VLOOKUP(H667,Sheet1!H:H,1,0)</f>
        <v>#N/A</v>
      </c>
    </row>
    <row r="668" spans="1:12">
      <c r="A668" t="s">
        <v>793</v>
      </c>
      <c r="B668" t="s">
        <v>286</v>
      </c>
      <c r="C668" t="s">
        <v>210</v>
      </c>
      <c r="D668" t="s">
        <v>211</v>
      </c>
      <c r="E668" t="s">
        <v>1024</v>
      </c>
      <c r="F668" t="s">
        <v>933</v>
      </c>
      <c r="G668" t="s">
        <v>1055</v>
      </c>
      <c r="H668">
        <v>3030806</v>
      </c>
      <c r="I668" t="s">
        <v>214</v>
      </c>
      <c r="J668" s="14">
        <v>45541</v>
      </c>
      <c r="K668" t="s">
        <v>1026</v>
      </c>
      <c r="L668" t="e">
        <f>VLOOKUP(H668,Sheet1!H:H,1,0)</f>
        <v>#N/A</v>
      </c>
    </row>
    <row r="669" spans="1:12">
      <c r="A669" t="s">
        <v>793</v>
      </c>
      <c r="B669" t="s">
        <v>286</v>
      </c>
      <c r="C669" t="s">
        <v>210</v>
      </c>
      <c r="D669" t="s">
        <v>211</v>
      </c>
      <c r="E669" t="s">
        <v>1024</v>
      </c>
      <c r="F669" t="s">
        <v>933</v>
      </c>
      <c r="G669" t="s">
        <v>1056</v>
      </c>
      <c r="H669">
        <v>2575206</v>
      </c>
      <c r="I669" t="s">
        <v>243</v>
      </c>
      <c r="J669" s="14">
        <v>43619</v>
      </c>
      <c r="K669" t="s">
        <v>1026</v>
      </c>
      <c r="L669" t="e">
        <f>VLOOKUP(H669,Sheet1!H:H,1,0)</f>
        <v>#N/A</v>
      </c>
    </row>
    <row r="670" spans="1:12">
      <c r="A670" t="s">
        <v>793</v>
      </c>
      <c r="B670" t="s">
        <v>286</v>
      </c>
      <c r="C670" t="s">
        <v>210</v>
      </c>
      <c r="D670" t="s">
        <v>211</v>
      </c>
      <c r="E670" t="s">
        <v>1031</v>
      </c>
      <c r="F670" t="s">
        <v>1032</v>
      </c>
      <c r="G670" t="s">
        <v>1057</v>
      </c>
      <c r="H670">
        <v>2907906</v>
      </c>
      <c r="I670" t="s">
        <v>214</v>
      </c>
      <c r="J670" s="14">
        <v>45036</v>
      </c>
      <c r="K670" t="s">
        <v>1034</v>
      </c>
      <c r="L670" t="e">
        <f>VLOOKUP(H670,Sheet1!H:H,1,0)</f>
        <v>#N/A</v>
      </c>
    </row>
    <row r="671" spans="1:12">
      <c r="A671" t="s">
        <v>793</v>
      </c>
      <c r="B671" t="s">
        <v>286</v>
      </c>
      <c r="C671" t="s">
        <v>210</v>
      </c>
      <c r="D671" t="s">
        <v>211</v>
      </c>
      <c r="E671" t="s">
        <v>1031</v>
      </c>
      <c r="F671" t="s">
        <v>1032</v>
      </c>
      <c r="G671" t="s">
        <v>1058</v>
      </c>
      <c r="H671">
        <v>3138406</v>
      </c>
      <c r="I671" t="s">
        <v>214</v>
      </c>
      <c r="J671" s="14">
        <v>45860</v>
      </c>
      <c r="K671" t="s">
        <v>1034</v>
      </c>
      <c r="L671" t="e">
        <f>VLOOKUP(H671,Sheet1!H:H,1,0)</f>
        <v>#N/A</v>
      </c>
    </row>
    <row r="672" spans="1:12">
      <c r="A672" t="s">
        <v>793</v>
      </c>
      <c r="B672" t="s">
        <v>286</v>
      </c>
      <c r="C672" t="s">
        <v>210</v>
      </c>
      <c r="D672" t="s">
        <v>211</v>
      </c>
      <c r="E672" t="s">
        <v>1024</v>
      </c>
      <c r="F672" t="s">
        <v>933</v>
      </c>
      <c r="G672" t="s">
        <v>1059</v>
      </c>
      <c r="H672">
        <v>2965306</v>
      </c>
      <c r="I672" t="s">
        <v>214</v>
      </c>
      <c r="J672" s="14">
        <v>45985</v>
      </c>
      <c r="K672" t="s">
        <v>1026</v>
      </c>
      <c r="L672" t="e">
        <f>VLOOKUP(H672,Sheet1!H:H,1,0)</f>
        <v>#N/A</v>
      </c>
    </row>
    <row r="673" spans="1:12">
      <c r="A673" t="s">
        <v>793</v>
      </c>
      <c r="B673" t="s">
        <v>286</v>
      </c>
      <c r="C673" t="s">
        <v>210</v>
      </c>
      <c r="D673" t="s">
        <v>211</v>
      </c>
      <c r="E673" t="s">
        <v>1031</v>
      </c>
      <c r="F673" t="s">
        <v>1032</v>
      </c>
      <c r="G673" t="s">
        <v>1060</v>
      </c>
      <c r="H673">
        <v>3142506</v>
      </c>
      <c r="I673" t="s">
        <v>214</v>
      </c>
      <c r="J673" s="14">
        <v>45870</v>
      </c>
      <c r="K673" t="s">
        <v>1034</v>
      </c>
      <c r="L673" t="e">
        <f>VLOOKUP(H673,Sheet1!H:H,1,0)</f>
        <v>#N/A</v>
      </c>
    </row>
    <row r="674" spans="1:12">
      <c r="A674" t="s">
        <v>793</v>
      </c>
      <c r="B674" t="s">
        <v>286</v>
      </c>
      <c r="C674" t="s">
        <v>210</v>
      </c>
      <c r="D674" t="s">
        <v>211</v>
      </c>
      <c r="E674" t="s">
        <v>1027</v>
      </c>
      <c r="F674" t="s">
        <v>1028</v>
      </c>
      <c r="G674" t="s">
        <v>1061</v>
      </c>
      <c r="H674">
        <v>2884306</v>
      </c>
      <c r="I674" t="s">
        <v>214</v>
      </c>
      <c r="J674" s="14">
        <v>45323</v>
      </c>
      <c r="K674" t="s">
        <v>1030</v>
      </c>
      <c r="L674" t="e">
        <f>VLOOKUP(H674,Sheet1!H:H,1,0)</f>
        <v>#N/A</v>
      </c>
    </row>
    <row r="675" spans="1:12">
      <c r="A675" t="s">
        <v>793</v>
      </c>
      <c r="B675" t="s">
        <v>286</v>
      </c>
      <c r="C675" t="s">
        <v>210</v>
      </c>
      <c r="D675" t="s">
        <v>211</v>
      </c>
      <c r="E675" t="s">
        <v>1027</v>
      </c>
      <c r="F675" t="s">
        <v>1028</v>
      </c>
      <c r="G675" t="s">
        <v>1062</v>
      </c>
      <c r="H675">
        <v>3201306</v>
      </c>
      <c r="I675" t="s">
        <v>220</v>
      </c>
      <c r="J675" s="14">
        <v>45985</v>
      </c>
      <c r="K675" t="s">
        <v>1030</v>
      </c>
      <c r="L675" t="e">
        <f>VLOOKUP(H675,Sheet1!H:H,1,0)</f>
        <v>#N/A</v>
      </c>
    </row>
    <row r="676" spans="1:12">
      <c r="A676" t="s">
        <v>793</v>
      </c>
      <c r="B676" t="s">
        <v>286</v>
      </c>
      <c r="C676" t="s">
        <v>210</v>
      </c>
      <c r="D676" t="s">
        <v>211</v>
      </c>
      <c r="E676" t="s">
        <v>794</v>
      </c>
      <c r="F676" t="s">
        <v>933</v>
      </c>
      <c r="G676" t="s">
        <v>1026</v>
      </c>
      <c r="H676">
        <v>1862706</v>
      </c>
      <c r="I676" t="s">
        <v>225</v>
      </c>
      <c r="J676" s="14">
        <v>44256</v>
      </c>
      <c r="K676" t="s">
        <v>797</v>
      </c>
      <c r="L676" t="e">
        <f>VLOOKUP(H676,Sheet1!H:H,1,0)</f>
        <v>#N/A</v>
      </c>
    </row>
    <row r="677" spans="1:12">
      <c r="A677" t="s">
        <v>793</v>
      </c>
      <c r="B677" t="s">
        <v>286</v>
      </c>
      <c r="C677" t="s">
        <v>210</v>
      </c>
      <c r="D677" t="s">
        <v>211</v>
      </c>
      <c r="E677" t="s">
        <v>1031</v>
      </c>
      <c r="F677" t="s">
        <v>1032</v>
      </c>
      <c r="G677" t="s">
        <v>1063</v>
      </c>
      <c r="H677">
        <v>2876106</v>
      </c>
      <c r="I677" t="s">
        <v>222</v>
      </c>
      <c r="J677" s="14">
        <v>44881</v>
      </c>
      <c r="K677" t="s">
        <v>1034</v>
      </c>
      <c r="L677" t="e">
        <f>VLOOKUP(H677,Sheet1!H:H,1,0)</f>
        <v>#N/A</v>
      </c>
    </row>
    <row r="678" spans="1:12">
      <c r="A678" t="s">
        <v>793</v>
      </c>
      <c r="B678" t="s">
        <v>286</v>
      </c>
      <c r="C678" t="s">
        <v>210</v>
      </c>
      <c r="D678" t="s">
        <v>211</v>
      </c>
      <c r="E678" t="s">
        <v>1024</v>
      </c>
      <c r="F678" t="s">
        <v>933</v>
      </c>
      <c r="G678" t="s">
        <v>1064</v>
      </c>
      <c r="H678">
        <v>2918806</v>
      </c>
      <c r="I678" t="s">
        <v>214</v>
      </c>
      <c r="J678" s="14">
        <v>45078</v>
      </c>
      <c r="K678" t="s">
        <v>1026</v>
      </c>
      <c r="L678" t="e">
        <f>VLOOKUP(H678,Sheet1!H:H,1,0)</f>
        <v>#N/A</v>
      </c>
    </row>
    <row r="679" spans="1:12">
      <c r="A679" t="s">
        <v>793</v>
      </c>
      <c r="B679" t="s">
        <v>324</v>
      </c>
      <c r="C679" t="s">
        <v>210</v>
      </c>
      <c r="D679" t="s">
        <v>287</v>
      </c>
      <c r="E679" t="s">
        <v>908</v>
      </c>
      <c r="F679" t="s">
        <v>823</v>
      </c>
      <c r="G679" t="s">
        <v>1065</v>
      </c>
      <c r="H679">
        <v>1014506</v>
      </c>
      <c r="I679" t="s">
        <v>688</v>
      </c>
      <c r="J679" s="14">
        <v>42736</v>
      </c>
      <c r="K679" t="s">
        <v>868</v>
      </c>
      <c r="L679" t="e">
        <f>VLOOKUP(H679,Sheet1!H:H,1,0)</f>
        <v>#N/A</v>
      </c>
    </row>
    <row r="680" spans="1:12">
      <c r="A680" t="s">
        <v>793</v>
      </c>
      <c r="B680" t="s">
        <v>286</v>
      </c>
      <c r="C680" t="s">
        <v>210</v>
      </c>
      <c r="D680" t="s">
        <v>211</v>
      </c>
      <c r="E680" t="s">
        <v>1031</v>
      </c>
      <c r="F680" t="s">
        <v>1032</v>
      </c>
      <c r="G680" t="s">
        <v>1066</v>
      </c>
      <c r="H680">
        <v>2994306</v>
      </c>
      <c r="I680" t="s">
        <v>214</v>
      </c>
      <c r="J680" s="14">
        <v>45338</v>
      </c>
      <c r="K680" t="s">
        <v>1034</v>
      </c>
      <c r="L680" t="e">
        <f>VLOOKUP(H680,Sheet1!H:H,1,0)</f>
        <v>#N/A</v>
      </c>
    </row>
    <row r="681" spans="1:12">
      <c r="A681" t="s">
        <v>793</v>
      </c>
      <c r="B681" t="s">
        <v>286</v>
      </c>
      <c r="C681" t="s">
        <v>210</v>
      </c>
      <c r="D681" t="s">
        <v>211</v>
      </c>
      <c r="E681" t="s">
        <v>1024</v>
      </c>
      <c r="F681" t="s">
        <v>933</v>
      </c>
      <c r="G681" t="s">
        <v>1067</v>
      </c>
      <c r="H681">
        <v>3155506</v>
      </c>
      <c r="I681" t="s">
        <v>220</v>
      </c>
      <c r="J681" s="14">
        <v>45931</v>
      </c>
      <c r="K681" t="s">
        <v>1026</v>
      </c>
      <c r="L681" t="e">
        <f>VLOOKUP(H681,Sheet1!H:H,1,0)</f>
        <v>#N/A</v>
      </c>
    </row>
    <row r="682" spans="1:12">
      <c r="A682" t="s">
        <v>793</v>
      </c>
      <c r="B682" t="s">
        <v>286</v>
      </c>
      <c r="C682" t="s">
        <v>210</v>
      </c>
      <c r="D682" t="s">
        <v>211</v>
      </c>
      <c r="E682" t="s">
        <v>1027</v>
      </c>
      <c r="F682" t="s">
        <v>1028</v>
      </c>
      <c r="G682" t="s">
        <v>1068</v>
      </c>
      <c r="H682">
        <v>3127806</v>
      </c>
      <c r="I682" t="s">
        <v>214</v>
      </c>
      <c r="J682" s="14">
        <v>45812</v>
      </c>
      <c r="K682" t="s">
        <v>1030</v>
      </c>
      <c r="L682" t="e">
        <f>VLOOKUP(H682,Sheet1!H:H,1,0)</f>
        <v>#N/A</v>
      </c>
    </row>
    <row r="683" spans="1:12">
      <c r="A683" t="s">
        <v>793</v>
      </c>
      <c r="B683" t="s">
        <v>286</v>
      </c>
      <c r="C683" t="s">
        <v>210</v>
      </c>
      <c r="D683" t="s">
        <v>211</v>
      </c>
      <c r="E683" t="s">
        <v>1031</v>
      </c>
      <c r="F683" t="s">
        <v>1032</v>
      </c>
      <c r="G683" t="s">
        <v>1069</v>
      </c>
      <c r="H683">
        <v>2939106</v>
      </c>
      <c r="I683" t="s">
        <v>214</v>
      </c>
      <c r="J683" s="14">
        <v>45177</v>
      </c>
      <c r="K683" t="s">
        <v>1034</v>
      </c>
      <c r="L683" t="e">
        <f>VLOOKUP(H683,Sheet1!H:H,1,0)</f>
        <v>#N/A</v>
      </c>
    </row>
    <row r="684" spans="1:12">
      <c r="A684" t="s">
        <v>793</v>
      </c>
      <c r="B684" t="s">
        <v>286</v>
      </c>
      <c r="C684" t="s">
        <v>210</v>
      </c>
      <c r="D684" t="s">
        <v>211</v>
      </c>
      <c r="E684" t="s">
        <v>1024</v>
      </c>
      <c r="F684" t="s">
        <v>933</v>
      </c>
      <c r="G684" t="s">
        <v>1070</v>
      </c>
      <c r="H684">
        <v>3110306</v>
      </c>
      <c r="I684" t="s">
        <v>214</v>
      </c>
      <c r="J684" s="14">
        <v>45689</v>
      </c>
      <c r="K684" t="s">
        <v>1026</v>
      </c>
      <c r="L684" t="e">
        <f>VLOOKUP(H684,Sheet1!H:H,1,0)</f>
        <v>#N/A</v>
      </c>
    </row>
    <row r="685" spans="1:12">
      <c r="A685" t="s">
        <v>793</v>
      </c>
      <c r="B685" t="s">
        <v>286</v>
      </c>
      <c r="C685" t="s">
        <v>210</v>
      </c>
      <c r="D685" t="s">
        <v>211</v>
      </c>
      <c r="E685" t="s">
        <v>1024</v>
      </c>
      <c r="F685" t="s">
        <v>933</v>
      </c>
      <c r="G685" t="s">
        <v>1071</v>
      </c>
      <c r="H685">
        <v>3094006</v>
      </c>
      <c r="I685" t="s">
        <v>214</v>
      </c>
      <c r="J685" s="14">
        <v>45985</v>
      </c>
      <c r="K685" t="s">
        <v>1026</v>
      </c>
      <c r="L685" t="e">
        <f>VLOOKUP(H685,Sheet1!H:H,1,0)</f>
        <v>#N/A</v>
      </c>
    </row>
    <row r="686" spans="1:12">
      <c r="A686" t="s">
        <v>793</v>
      </c>
      <c r="B686" t="s">
        <v>274</v>
      </c>
      <c r="C686" t="s">
        <v>210</v>
      </c>
      <c r="D686" t="s">
        <v>211</v>
      </c>
      <c r="E686" t="s">
        <v>1072</v>
      </c>
      <c r="F686" t="s">
        <v>1073</v>
      </c>
      <c r="G686" t="s">
        <v>1074</v>
      </c>
      <c r="H686">
        <v>2453406</v>
      </c>
      <c r="I686" t="s">
        <v>222</v>
      </c>
      <c r="J686" s="14">
        <v>43055</v>
      </c>
      <c r="K686" t="s">
        <v>1075</v>
      </c>
      <c r="L686" t="e">
        <f>VLOOKUP(H686,Sheet1!H:H,1,0)</f>
        <v>#N/A</v>
      </c>
    </row>
    <row r="687" spans="1:12">
      <c r="A687" t="s">
        <v>793</v>
      </c>
      <c r="B687" t="s">
        <v>274</v>
      </c>
      <c r="C687" t="s">
        <v>210</v>
      </c>
      <c r="D687" t="s">
        <v>211</v>
      </c>
      <c r="E687" t="s">
        <v>1072</v>
      </c>
      <c r="F687" t="s">
        <v>1073</v>
      </c>
      <c r="G687" t="s">
        <v>1076</v>
      </c>
      <c r="H687">
        <v>3034606</v>
      </c>
      <c r="I687" t="s">
        <v>214</v>
      </c>
      <c r="J687" s="14">
        <v>45901</v>
      </c>
      <c r="K687" t="s">
        <v>1075</v>
      </c>
      <c r="L687" t="e">
        <f>VLOOKUP(H687,Sheet1!H:H,1,0)</f>
        <v>#N/A</v>
      </c>
    </row>
    <row r="688" spans="1:12">
      <c r="A688" t="s">
        <v>793</v>
      </c>
      <c r="B688" t="s">
        <v>274</v>
      </c>
      <c r="C688" t="s">
        <v>210</v>
      </c>
      <c r="D688" t="s">
        <v>211</v>
      </c>
      <c r="E688" t="s">
        <v>1072</v>
      </c>
      <c r="F688" t="s">
        <v>1073</v>
      </c>
      <c r="G688" t="s">
        <v>1077</v>
      </c>
      <c r="H688">
        <v>3135006</v>
      </c>
      <c r="I688" t="s">
        <v>214</v>
      </c>
      <c r="J688" s="14">
        <v>45846</v>
      </c>
      <c r="K688" t="s">
        <v>1075</v>
      </c>
      <c r="L688" t="e">
        <f>VLOOKUP(H688,Sheet1!H:H,1,0)</f>
        <v>#N/A</v>
      </c>
    </row>
    <row r="689" spans="1:12">
      <c r="A689" t="s">
        <v>793</v>
      </c>
      <c r="B689" t="s">
        <v>274</v>
      </c>
      <c r="C689" t="s">
        <v>210</v>
      </c>
      <c r="D689" t="s">
        <v>211</v>
      </c>
      <c r="E689" t="s">
        <v>1072</v>
      </c>
      <c r="F689" t="s">
        <v>1073</v>
      </c>
      <c r="G689" t="s">
        <v>1078</v>
      </c>
      <c r="H689">
        <v>2915606</v>
      </c>
      <c r="I689" t="s">
        <v>214</v>
      </c>
      <c r="J689" s="14">
        <v>45916</v>
      </c>
      <c r="K689" t="s">
        <v>1075</v>
      </c>
      <c r="L689" t="e">
        <f>VLOOKUP(H689,Sheet1!H:H,1,0)</f>
        <v>#N/A</v>
      </c>
    </row>
    <row r="690" spans="1:12">
      <c r="A690" t="s">
        <v>793</v>
      </c>
      <c r="B690" t="s">
        <v>209</v>
      </c>
      <c r="C690" t="s">
        <v>210</v>
      </c>
      <c r="D690" t="s">
        <v>287</v>
      </c>
      <c r="E690" t="s">
        <v>794</v>
      </c>
      <c r="F690" t="s">
        <v>854</v>
      </c>
      <c r="G690" t="s">
        <v>1079</v>
      </c>
      <c r="H690">
        <v>1602206</v>
      </c>
      <c r="I690" t="s">
        <v>313</v>
      </c>
      <c r="J690" s="14">
        <v>40360</v>
      </c>
      <c r="K690" t="s">
        <v>797</v>
      </c>
      <c r="L690" t="e">
        <f>VLOOKUP(H690,Sheet1!H:H,1,0)</f>
        <v>#N/A</v>
      </c>
    </row>
    <row r="691" spans="1:12">
      <c r="A691" t="s">
        <v>793</v>
      </c>
      <c r="B691" t="s">
        <v>274</v>
      </c>
      <c r="C691" t="s">
        <v>429</v>
      </c>
      <c r="D691" t="s">
        <v>211</v>
      </c>
      <c r="E691" t="s">
        <v>1072</v>
      </c>
      <c r="F691" t="s">
        <v>1073</v>
      </c>
      <c r="G691" t="s">
        <v>1080</v>
      </c>
      <c r="H691">
        <v>2917106</v>
      </c>
      <c r="I691" t="s">
        <v>220</v>
      </c>
      <c r="J691" s="14">
        <v>45078</v>
      </c>
      <c r="K691" t="s">
        <v>1075</v>
      </c>
      <c r="L691" t="e">
        <f>VLOOKUP(H691,Sheet1!H:H,1,0)</f>
        <v>#N/A</v>
      </c>
    </row>
    <row r="692" spans="1:12">
      <c r="A692" t="s">
        <v>793</v>
      </c>
      <c r="B692" t="s">
        <v>274</v>
      </c>
      <c r="C692" t="s">
        <v>210</v>
      </c>
      <c r="D692" t="s">
        <v>211</v>
      </c>
      <c r="E692" t="s">
        <v>1072</v>
      </c>
      <c r="F692" t="s">
        <v>1073</v>
      </c>
      <c r="G692" t="s">
        <v>1081</v>
      </c>
      <c r="H692">
        <v>3234206</v>
      </c>
      <c r="I692" t="s">
        <v>214</v>
      </c>
      <c r="J692" s="14">
        <v>46083</v>
      </c>
      <c r="K692" t="s">
        <v>1075</v>
      </c>
      <c r="L692" t="e">
        <f>VLOOKUP(H692,Sheet1!H:H,1,0)</f>
        <v>#N/A</v>
      </c>
    </row>
    <row r="693" spans="1:12">
      <c r="A693" t="s">
        <v>793</v>
      </c>
      <c r="B693" t="s">
        <v>274</v>
      </c>
      <c r="C693" t="s">
        <v>210</v>
      </c>
      <c r="D693" t="s">
        <v>211</v>
      </c>
      <c r="E693" t="s">
        <v>1072</v>
      </c>
      <c r="F693" t="s">
        <v>1073</v>
      </c>
      <c r="G693" t="s">
        <v>1082</v>
      </c>
      <c r="H693">
        <v>2788806</v>
      </c>
      <c r="I693" t="s">
        <v>214</v>
      </c>
      <c r="J693" s="14">
        <v>44621</v>
      </c>
      <c r="K693" t="s">
        <v>1075</v>
      </c>
      <c r="L693" t="e">
        <f>VLOOKUP(H693,Sheet1!H:H,1,0)</f>
        <v>#N/A</v>
      </c>
    </row>
    <row r="694" spans="1:12">
      <c r="A694" t="s">
        <v>793</v>
      </c>
      <c r="B694" t="s">
        <v>274</v>
      </c>
      <c r="C694" t="s">
        <v>210</v>
      </c>
      <c r="D694" t="s">
        <v>211</v>
      </c>
      <c r="E694" t="s">
        <v>1072</v>
      </c>
      <c r="F694" t="s">
        <v>1073</v>
      </c>
      <c r="G694" t="s">
        <v>1083</v>
      </c>
      <c r="H694">
        <v>2766506</v>
      </c>
      <c r="I694" t="s">
        <v>222</v>
      </c>
      <c r="J694" s="14">
        <v>44516</v>
      </c>
      <c r="K694" t="s">
        <v>1075</v>
      </c>
      <c r="L694" t="e">
        <f>VLOOKUP(H694,Sheet1!H:H,1,0)</f>
        <v>#N/A</v>
      </c>
    </row>
    <row r="695" spans="1:12">
      <c r="A695" t="s">
        <v>793</v>
      </c>
      <c r="B695" t="s">
        <v>274</v>
      </c>
      <c r="C695" t="s">
        <v>210</v>
      </c>
      <c r="D695" t="s">
        <v>211</v>
      </c>
      <c r="E695" t="s">
        <v>794</v>
      </c>
      <c r="F695" t="s">
        <v>1073</v>
      </c>
      <c r="G695" t="s">
        <v>1075</v>
      </c>
      <c r="H695">
        <v>1598106</v>
      </c>
      <c r="I695" t="s">
        <v>225</v>
      </c>
      <c r="J695" s="14">
        <v>40345</v>
      </c>
      <c r="K695" t="s">
        <v>797</v>
      </c>
      <c r="L695" t="e">
        <f>VLOOKUP(H695,Sheet1!H:H,1,0)</f>
        <v>#N/A</v>
      </c>
    </row>
    <row r="696" spans="1:12">
      <c r="A696" t="s">
        <v>793</v>
      </c>
      <c r="B696" t="s">
        <v>274</v>
      </c>
      <c r="C696" t="s">
        <v>210</v>
      </c>
      <c r="D696" t="s">
        <v>211</v>
      </c>
      <c r="E696" t="s">
        <v>1072</v>
      </c>
      <c r="F696" t="s">
        <v>1073</v>
      </c>
      <c r="G696" t="s">
        <v>1084</v>
      </c>
      <c r="H696">
        <v>3221906</v>
      </c>
      <c r="I696" t="s">
        <v>220</v>
      </c>
      <c r="J696" s="14">
        <v>46038</v>
      </c>
      <c r="K696" t="s">
        <v>1075</v>
      </c>
      <c r="L696" t="e">
        <f>VLOOKUP(H696,Sheet1!H:H,1,0)</f>
        <v>#N/A</v>
      </c>
    </row>
    <row r="697" spans="1:12">
      <c r="A697" t="s">
        <v>793</v>
      </c>
      <c r="B697" t="s">
        <v>274</v>
      </c>
      <c r="C697" t="s">
        <v>210</v>
      </c>
      <c r="D697" t="s">
        <v>211</v>
      </c>
      <c r="E697" t="s">
        <v>1072</v>
      </c>
      <c r="F697" t="s">
        <v>1073</v>
      </c>
      <c r="G697" t="s">
        <v>1085</v>
      </c>
      <c r="H697">
        <v>3234306</v>
      </c>
      <c r="I697" t="s">
        <v>214</v>
      </c>
      <c r="J697" s="14">
        <v>46083</v>
      </c>
      <c r="K697" t="s">
        <v>1075</v>
      </c>
      <c r="L697" t="e">
        <f>VLOOKUP(H697,Sheet1!H:H,1,0)</f>
        <v>#N/A</v>
      </c>
    </row>
    <row r="698" spans="1:12">
      <c r="A698" t="s">
        <v>793</v>
      </c>
      <c r="B698" t="s">
        <v>274</v>
      </c>
      <c r="C698" t="s">
        <v>210</v>
      </c>
      <c r="D698" t="s">
        <v>211</v>
      </c>
      <c r="E698" t="s">
        <v>1072</v>
      </c>
      <c r="F698" t="s">
        <v>1073</v>
      </c>
      <c r="G698" t="s">
        <v>1086</v>
      </c>
      <c r="H698">
        <v>3231606</v>
      </c>
      <c r="I698" t="s">
        <v>214</v>
      </c>
      <c r="J698" s="14">
        <v>46069</v>
      </c>
      <c r="K698" t="s">
        <v>1075</v>
      </c>
      <c r="L698" t="e">
        <f>VLOOKUP(H698,Sheet1!H:H,1,0)</f>
        <v>#N/A</v>
      </c>
    </row>
    <row r="699" spans="1:12">
      <c r="A699" t="s">
        <v>793</v>
      </c>
      <c r="B699" t="s">
        <v>209</v>
      </c>
      <c r="C699" t="s">
        <v>210</v>
      </c>
      <c r="D699" t="s">
        <v>211</v>
      </c>
      <c r="E699" t="s">
        <v>1087</v>
      </c>
      <c r="F699" t="s">
        <v>1088</v>
      </c>
      <c r="G699" t="s">
        <v>1089</v>
      </c>
      <c r="H699">
        <v>3229106</v>
      </c>
      <c r="I699" t="s">
        <v>220</v>
      </c>
      <c r="J699" s="14">
        <v>46055</v>
      </c>
      <c r="K699" t="s">
        <v>1090</v>
      </c>
      <c r="L699" t="e">
        <f>VLOOKUP(H699,Sheet1!H:H,1,0)</f>
        <v>#N/A</v>
      </c>
    </row>
    <row r="700" spans="1:12">
      <c r="A700" t="s">
        <v>793</v>
      </c>
      <c r="B700" t="s">
        <v>209</v>
      </c>
      <c r="C700" t="s">
        <v>210</v>
      </c>
      <c r="D700" t="s">
        <v>211</v>
      </c>
      <c r="E700" t="s">
        <v>1091</v>
      </c>
      <c r="F700" t="s">
        <v>1048</v>
      </c>
      <c r="G700" t="s">
        <v>1092</v>
      </c>
      <c r="H700">
        <v>2551406</v>
      </c>
      <c r="I700" t="s">
        <v>222</v>
      </c>
      <c r="J700" s="14">
        <v>45383</v>
      </c>
      <c r="K700" t="s">
        <v>1093</v>
      </c>
      <c r="L700" t="e">
        <f>VLOOKUP(H700,Sheet1!H:H,1,0)</f>
        <v>#N/A</v>
      </c>
    </row>
    <row r="701" spans="1:12">
      <c r="A701" t="s">
        <v>793</v>
      </c>
      <c r="B701" t="s">
        <v>209</v>
      </c>
      <c r="C701" t="s">
        <v>210</v>
      </c>
      <c r="D701" t="s">
        <v>211</v>
      </c>
      <c r="E701" t="s">
        <v>794</v>
      </c>
      <c r="F701" t="s">
        <v>1048</v>
      </c>
      <c r="G701" t="s">
        <v>1093</v>
      </c>
      <c r="H701">
        <v>2218406</v>
      </c>
      <c r="I701" t="s">
        <v>225</v>
      </c>
      <c r="J701" s="14">
        <v>42702</v>
      </c>
      <c r="K701" t="s">
        <v>797</v>
      </c>
      <c r="L701" t="e">
        <f>VLOOKUP(H701,Sheet1!H:H,1,0)</f>
        <v>#N/A</v>
      </c>
    </row>
    <row r="702" spans="1:12">
      <c r="A702" t="s">
        <v>793</v>
      </c>
      <c r="B702" t="s">
        <v>209</v>
      </c>
      <c r="C702" t="s">
        <v>210</v>
      </c>
      <c r="D702" t="s">
        <v>211</v>
      </c>
      <c r="E702" t="s">
        <v>1091</v>
      </c>
      <c r="F702" t="s">
        <v>1048</v>
      </c>
      <c r="G702" t="s">
        <v>1094</v>
      </c>
      <c r="H702">
        <v>2962406</v>
      </c>
      <c r="I702" t="s">
        <v>214</v>
      </c>
      <c r="J702" s="14">
        <v>45232</v>
      </c>
      <c r="K702" t="s">
        <v>1093</v>
      </c>
      <c r="L702" t="e">
        <f>VLOOKUP(H702,Sheet1!H:H,1,0)</f>
        <v>#N/A</v>
      </c>
    </row>
    <row r="703" spans="1:12">
      <c r="A703" t="s">
        <v>793</v>
      </c>
      <c r="B703" t="s">
        <v>209</v>
      </c>
      <c r="C703" t="s">
        <v>210</v>
      </c>
      <c r="D703" t="s">
        <v>211</v>
      </c>
      <c r="E703" t="s">
        <v>1095</v>
      </c>
      <c r="F703" t="s">
        <v>1096</v>
      </c>
      <c r="G703" t="s">
        <v>1097</v>
      </c>
      <c r="H703">
        <v>3228406</v>
      </c>
      <c r="I703" t="s">
        <v>220</v>
      </c>
      <c r="J703" s="14">
        <v>46055</v>
      </c>
      <c r="K703" t="s">
        <v>1098</v>
      </c>
      <c r="L703" t="e">
        <f>VLOOKUP(H703,Sheet1!H:H,1,0)</f>
        <v>#N/A</v>
      </c>
    </row>
    <row r="704" spans="1:12">
      <c r="A704" t="s">
        <v>793</v>
      </c>
      <c r="B704" t="s">
        <v>209</v>
      </c>
      <c r="C704" t="s">
        <v>210</v>
      </c>
      <c r="D704" t="s">
        <v>211</v>
      </c>
      <c r="E704" t="s">
        <v>1095</v>
      </c>
      <c r="F704" t="s">
        <v>1096</v>
      </c>
      <c r="G704" t="s">
        <v>1099</v>
      </c>
      <c r="H704">
        <v>3092906</v>
      </c>
      <c r="I704" t="s">
        <v>214</v>
      </c>
      <c r="J704" s="14">
        <v>45614</v>
      </c>
      <c r="K704" t="s">
        <v>1098</v>
      </c>
      <c r="L704" t="e">
        <f>VLOOKUP(H704,Sheet1!H:H,1,0)</f>
        <v>#N/A</v>
      </c>
    </row>
    <row r="705" spans="1:12">
      <c r="A705" t="s">
        <v>793</v>
      </c>
      <c r="B705" t="s">
        <v>209</v>
      </c>
      <c r="C705" t="s">
        <v>210</v>
      </c>
      <c r="D705" t="s">
        <v>211</v>
      </c>
      <c r="E705" t="s">
        <v>1087</v>
      </c>
      <c r="F705" t="s">
        <v>1088</v>
      </c>
      <c r="G705" t="s">
        <v>1100</v>
      </c>
      <c r="H705">
        <v>3221706</v>
      </c>
      <c r="I705" t="s">
        <v>214</v>
      </c>
      <c r="J705" s="14">
        <v>46038</v>
      </c>
      <c r="K705" t="s">
        <v>1090</v>
      </c>
      <c r="L705" t="e">
        <f>VLOOKUP(H705,Sheet1!H:H,1,0)</f>
        <v>#N/A</v>
      </c>
    </row>
    <row r="706" spans="1:12">
      <c r="A706" t="s">
        <v>793</v>
      </c>
      <c r="B706" t="s">
        <v>209</v>
      </c>
      <c r="C706" t="s">
        <v>210</v>
      </c>
      <c r="D706" t="s">
        <v>211</v>
      </c>
      <c r="E706" t="s">
        <v>1087</v>
      </c>
      <c r="F706" t="s">
        <v>1088</v>
      </c>
      <c r="G706" t="s">
        <v>1101</v>
      </c>
      <c r="H706">
        <v>2946006</v>
      </c>
      <c r="I706" t="s">
        <v>214</v>
      </c>
      <c r="J706" s="14">
        <v>45307</v>
      </c>
      <c r="K706" t="s">
        <v>1090</v>
      </c>
      <c r="L706" t="e">
        <f>VLOOKUP(H706,Sheet1!H:H,1,0)</f>
        <v>#N/A</v>
      </c>
    </row>
    <row r="707" spans="1:12">
      <c r="A707" t="s">
        <v>793</v>
      </c>
      <c r="B707" t="s">
        <v>324</v>
      </c>
      <c r="C707" t="s">
        <v>210</v>
      </c>
      <c r="D707" t="s">
        <v>287</v>
      </c>
      <c r="E707" t="s">
        <v>830</v>
      </c>
      <c r="F707" t="s">
        <v>823</v>
      </c>
      <c r="G707" t="s">
        <v>1102</v>
      </c>
      <c r="H707">
        <v>2549206</v>
      </c>
      <c r="I707" t="s">
        <v>510</v>
      </c>
      <c r="J707" s="14">
        <v>43437</v>
      </c>
      <c r="K707" t="s">
        <v>797</v>
      </c>
      <c r="L707" t="e">
        <f>VLOOKUP(H707,Sheet1!H:H,1,0)</f>
        <v>#N/A</v>
      </c>
    </row>
    <row r="708" spans="1:12">
      <c r="A708" t="s">
        <v>793</v>
      </c>
      <c r="B708" t="s">
        <v>209</v>
      </c>
      <c r="C708" t="s">
        <v>210</v>
      </c>
      <c r="D708" t="s">
        <v>211</v>
      </c>
      <c r="E708" t="s">
        <v>1091</v>
      </c>
      <c r="F708" t="s">
        <v>1048</v>
      </c>
      <c r="G708" t="s">
        <v>1103</v>
      </c>
      <c r="H708">
        <v>3138006</v>
      </c>
      <c r="I708" t="s">
        <v>214</v>
      </c>
      <c r="J708" s="14">
        <v>45861</v>
      </c>
      <c r="K708" t="s">
        <v>1093</v>
      </c>
      <c r="L708" t="e">
        <f>VLOOKUP(H708,Sheet1!H:H,1,0)</f>
        <v>#N/A</v>
      </c>
    </row>
    <row r="709" spans="1:12">
      <c r="A709" t="s">
        <v>793</v>
      </c>
      <c r="B709" t="s">
        <v>209</v>
      </c>
      <c r="C709" t="s">
        <v>210</v>
      </c>
      <c r="D709" t="s">
        <v>211</v>
      </c>
      <c r="E709" t="s">
        <v>1095</v>
      </c>
      <c r="F709" t="s">
        <v>1088</v>
      </c>
      <c r="G709" t="s">
        <v>1104</v>
      </c>
      <c r="H709">
        <v>3228506</v>
      </c>
      <c r="I709" t="s">
        <v>214</v>
      </c>
      <c r="J709" s="14">
        <v>46055</v>
      </c>
      <c r="K709" t="s">
        <v>1098</v>
      </c>
      <c r="L709" t="e">
        <f>VLOOKUP(H709,Sheet1!H:H,1,0)</f>
        <v>#N/A</v>
      </c>
    </row>
    <row r="710" spans="1:12">
      <c r="A710" t="s">
        <v>793</v>
      </c>
      <c r="B710" t="s">
        <v>209</v>
      </c>
      <c r="C710" t="s">
        <v>210</v>
      </c>
      <c r="D710" t="s">
        <v>211</v>
      </c>
      <c r="E710" t="s">
        <v>1087</v>
      </c>
      <c r="F710" t="s">
        <v>1088</v>
      </c>
      <c r="G710" t="s">
        <v>1105</v>
      </c>
      <c r="H710">
        <v>2942706</v>
      </c>
      <c r="I710" t="s">
        <v>214</v>
      </c>
      <c r="J710" s="14">
        <v>45194</v>
      </c>
      <c r="K710" t="s">
        <v>1090</v>
      </c>
      <c r="L710" t="e">
        <f>VLOOKUP(H710,Sheet1!H:H,1,0)</f>
        <v>#N/A</v>
      </c>
    </row>
    <row r="711" spans="1:12">
      <c r="A711" t="s">
        <v>793</v>
      </c>
      <c r="B711" t="s">
        <v>209</v>
      </c>
      <c r="C711" t="s">
        <v>210</v>
      </c>
      <c r="D711" t="s">
        <v>211</v>
      </c>
      <c r="E711" t="s">
        <v>1091</v>
      </c>
      <c r="F711" t="s">
        <v>1048</v>
      </c>
      <c r="G711" t="s">
        <v>1106</v>
      </c>
      <c r="H711">
        <v>3112506</v>
      </c>
      <c r="I711" t="s">
        <v>214</v>
      </c>
      <c r="J711" s="14">
        <v>45705</v>
      </c>
      <c r="K711" t="s">
        <v>1093</v>
      </c>
      <c r="L711" t="e">
        <f>VLOOKUP(H711,Sheet1!H:H,1,0)</f>
        <v>#N/A</v>
      </c>
    </row>
    <row r="712" spans="1:12">
      <c r="A712" t="s">
        <v>793</v>
      </c>
      <c r="B712" t="s">
        <v>209</v>
      </c>
      <c r="C712" t="s">
        <v>210</v>
      </c>
      <c r="D712" t="s">
        <v>211</v>
      </c>
      <c r="E712" t="s">
        <v>1091</v>
      </c>
      <c r="F712" t="s">
        <v>1048</v>
      </c>
      <c r="G712" t="s">
        <v>1107</v>
      </c>
      <c r="H712">
        <v>3093206</v>
      </c>
      <c r="I712" t="s">
        <v>214</v>
      </c>
      <c r="J712" s="14">
        <v>45992</v>
      </c>
      <c r="K712" t="s">
        <v>1093</v>
      </c>
      <c r="L712" t="e">
        <f>VLOOKUP(H712,Sheet1!H:H,1,0)</f>
        <v>#N/A</v>
      </c>
    </row>
    <row r="713" spans="1:12">
      <c r="A713" t="s">
        <v>793</v>
      </c>
      <c r="B713" t="s">
        <v>209</v>
      </c>
      <c r="C713" t="s">
        <v>210</v>
      </c>
      <c r="D713" t="s">
        <v>211</v>
      </c>
      <c r="E713" t="s">
        <v>1091</v>
      </c>
      <c r="F713" t="s">
        <v>1048</v>
      </c>
      <c r="G713" t="s">
        <v>1108</v>
      </c>
      <c r="H713">
        <v>2925706</v>
      </c>
      <c r="I713" t="s">
        <v>214</v>
      </c>
      <c r="J713" s="14">
        <v>45093</v>
      </c>
      <c r="K713" t="s">
        <v>1093</v>
      </c>
      <c r="L713" t="e">
        <f>VLOOKUP(H713,Sheet1!H:H,1,0)</f>
        <v>#N/A</v>
      </c>
    </row>
    <row r="714" spans="1:12">
      <c r="A714" t="s">
        <v>793</v>
      </c>
      <c r="B714" t="s">
        <v>209</v>
      </c>
      <c r="C714" t="s">
        <v>210</v>
      </c>
      <c r="D714" t="s">
        <v>211</v>
      </c>
      <c r="E714" t="s">
        <v>1095</v>
      </c>
      <c r="F714" t="s">
        <v>1096</v>
      </c>
      <c r="G714" t="s">
        <v>1109</v>
      </c>
      <c r="H714">
        <v>2751406</v>
      </c>
      <c r="I714" t="s">
        <v>222</v>
      </c>
      <c r="J714" s="14">
        <v>44867</v>
      </c>
      <c r="K714" t="s">
        <v>1098</v>
      </c>
      <c r="L714" t="e">
        <f>VLOOKUP(H714,Sheet1!H:H,1,0)</f>
        <v>#N/A</v>
      </c>
    </row>
    <row r="715" spans="1:12">
      <c r="A715" t="s">
        <v>793</v>
      </c>
      <c r="B715" t="s">
        <v>209</v>
      </c>
      <c r="C715" t="s">
        <v>210</v>
      </c>
      <c r="D715" t="s">
        <v>211</v>
      </c>
      <c r="E715" t="s">
        <v>1087</v>
      </c>
      <c r="F715" t="s">
        <v>1088</v>
      </c>
      <c r="G715" t="s">
        <v>1110</v>
      </c>
      <c r="H715">
        <v>3095906</v>
      </c>
      <c r="I715" t="s">
        <v>214</v>
      </c>
      <c r="J715" s="14">
        <v>45614</v>
      </c>
      <c r="K715" t="s">
        <v>1090</v>
      </c>
      <c r="L715" t="e">
        <f>VLOOKUP(H715,Sheet1!H:H,1,0)</f>
        <v>#N/A</v>
      </c>
    </row>
    <row r="716" spans="1:12">
      <c r="A716" t="s">
        <v>793</v>
      </c>
      <c r="B716" t="s">
        <v>209</v>
      </c>
      <c r="C716" t="s">
        <v>210</v>
      </c>
      <c r="D716" t="s">
        <v>211</v>
      </c>
      <c r="E716" t="s">
        <v>1087</v>
      </c>
      <c r="F716" t="s">
        <v>1088</v>
      </c>
      <c r="G716" t="s">
        <v>1111</v>
      </c>
      <c r="H716">
        <v>3096006</v>
      </c>
      <c r="I716" t="s">
        <v>214</v>
      </c>
      <c r="J716" s="14">
        <v>45614</v>
      </c>
      <c r="K716" t="s">
        <v>1090</v>
      </c>
      <c r="L716" t="e">
        <f>VLOOKUP(H716,Sheet1!H:H,1,0)</f>
        <v>#N/A</v>
      </c>
    </row>
    <row r="717" spans="1:12">
      <c r="A717" t="s">
        <v>793</v>
      </c>
      <c r="B717" t="s">
        <v>209</v>
      </c>
      <c r="C717" t="s">
        <v>210</v>
      </c>
      <c r="D717" t="s">
        <v>211</v>
      </c>
      <c r="E717" t="s">
        <v>1087</v>
      </c>
      <c r="F717" t="s">
        <v>1088</v>
      </c>
      <c r="G717" t="s">
        <v>1112</v>
      </c>
      <c r="H717">
        <v>2903606</v>
      </c>
      <c r="I717" t="s">
        <v>214</v>
      </c>
      <c r="J717" s="14">
        <v>45001</v>
      </c>
      <c r="K717" t="s">
        <v>1090</v>
      </c>
      <c r="L717" t="e">
        <f>VLOOKUP(H717,Sheet1!H:H,1,0)</f>
        <v>#N/A</v>
      </c>
    </row>
    <row r="718" spans="1:12">
      <c r="A718" t="s">
        <v>793</v>
      </c>
      <c r="B718" t="s">
        <v>209</v>
      </c>
      <c r="C718" t="s">
        <v>210</v>
      </c>
      <c r="D718" t="s">
        <v>211</v>
      </c>
      <c r="E718" t="s">
        <v>1091</v>
      </c>
      <c r="F718" t="s">
        <v>1048</v>
      </c>
      <c r="G718" t="s">
        <v>1113</v>
      </c>
      <c r="H718">
        <v>3098506</v>
      </c>
      <c r="I718" t="s">
        <v>214</v>
      </c>
      <c r="J718" s="14">
        <v>45841</v>
      </c>
      <c r="K718" t="s">
        <v>1093</v>
      </c>
      <c r="L718" t="e">
        <f>VLOOKUP(H718,Sheet1!H:H,1,0)</f>
        <v>#N/A</v>
      </c>
    </row>
    <row r="719" spans="1:12">
      <c r="A719" t="s">
        <v>793</v>
      </c>
      <c r="B719" t="s">
        <v>209</v>
      </c>
      <c r="C719" t="s">
        <v>210</v>
      </c>
      <c r="D719" t="s">
        <v>211</v>
      </c>
      <c r="E719" t="s">
        <v>1091</v>
      </c>
      <c r="F719" t="s">
        <v>1048</v>
      </c>
      <c r="G719" t="s">
        <v>1114</v>
      </c>
      <c r="H719">
        <v>2532706</v>
      </c>
      <c r="I719" t="s">
        <v>243</v>
      </c>
      <c r="J719" s="14">
        <v>43409</v>
      </c>
      <c r="K719" t="s">
        <v>1093</v>
      </c>
      <c r="L719" t="e">
        <f>VLOOKUP(H719,Sheet1!H:H,1,0)</f>
        <v>#N/A</v>
      </c>
    </row>
    <row r="720" spans="1:12">
      <c r="A720" t="s">
        <v>793</v>
      </c>
      <c r="B720" t="s">
        <v>209</v>
      </c>
      <c r="C720" t="s">
        <v>210</v>
      </c>
      <c r="D720" t="s">
        <v>211</v>
      </c>
      <c r="E720" t="s">
        <v>1091</v>
      </c>
      <c r="F720" t="s">
        <v>1048</v>
      </c>
      <c r="G720" t="s">
        <v>1115</v>
      </c>
      <c r="H720">
        <v>3118306</v>
      </c>
      <c r="I720" t="s">
        <v>214</v>
      </c>
      <c r="J720" s="14">
        <v>45733</v>
      </c>
      <c r="K720" t="s">
        <v>1093</v>
      </c>
      <c r="L720" t="e">
        <f>VLOOKUP(H720,Sheet1!H:H,1,0)</f>
        <v>#N/A</v>
      </c>
    </row>
    <row r="721" spans="1:12">
      <c r="A721" t="s">
        <v>793</v>
      </c>
      <c r="B721" t="s">
        <v>209</v>
      </c>
      <c r="C721" t="s">
        <v>210</v>
      </c>
      <c r="D721" t="s">
        <v>211</v>
      </c>
      <c r="E721" t="s">
        <v>1087</v>
      </c>
      <c r="F721" t="s">
        <v>1088</v>
      </c>
      <c r="G721" t="s">
        <v>1116</v>
      </c>
      <c r="H721">
        <v>3108306</v>
      </c>
      <c r="I721" t="s">
        <v>214</v>
      </c>
      <c r="J721" s="14">
        <v>45677</v>
      </c>
      <c r="K721" t="s">
        <v>1090</v>
      </c>
      <c r="L721" t="e">
        <f>VLOOKUP(H721,Sheet1!H:H,1,0)</f>
        <v>#N/A</v>
      </c>
    </row>
    <row r="722" spans="1:12">
      <c r="A722" t="s">
        <v>793</v>
      </c>
      <c r="B722" t="s">
        <v>209</v>
      </c>
      <c r="C722" t="s">
        <v>210</v>
      </c>
      <c r="D722" t="s">
        <v>211</v>
      </c>
      <c r="E722" t="s">
        <v>1091</v>
      </c>
      <c r="F722" t="s">
        <v>1048</v>
      </c>
      <c r="G722" t="s">
        <v>1117</v>
      </c>
      <c r="H722">
        <v>3208606</v>
      </c>
      <c r="I722" t="s">
        <v>220</v>
      </c>
      <c r="J722" s="14">
        <v>45992</v>
      </c>
      <c r="K722" t="s">
        <v>1093</v>
      </c>
      <c r="L722" t="e">
        <f>VLOOKUP(H722,Sheet1!H:H,1,0)</f>
        <v>#N/A</v>
      </c>
    </row>
    <row r="723" spans="1:12">
      <c r="A723" t="s">
        <v>793</v>
      </c>
      <c r="B723" t="s">
        <v>209</v>
      </c>
      <c r="C723" t="s">
        <v>210</v>
      </c>
      <c r="D723" t="s">
        <v>211</v>
      </c>
      <c r="E723" t="s">
        <v>1087</v>
      </c>
      <c r="F723" t="s">
        <v>1088</v>
      </c>
      <c r="G723" t="s">
        <v>1118</v>
      </c>
      <c r="H723">
        <v>2921006</v>
      </c>
      <c r="I723" t="s">
        <v>214</v>
      </c>
      <c r="J723" s="14">
        <v>45093</v>
      </c>
      <c r="K723" t="s">
        <v>1090</v>
      </c>
      <c r="L723" t="e">
        <f>VLOOKUP(H723,Sheet1!H:H,1,0)</f>
        <v>#N/A</v>
      </c>
    </row>
    <row r="724" spans="1:12">
      <c r="A724" t="s">
        <v>793</v>
      </c>
      <c r="B724" t="s">
        <v>209</v>
      </c>
      <c r="C724" t="s">
        <v>210</v>
      </c>
      <c r="D724" t="s">
        <v>211</v>
      </c>
      <c r="E724" t="s">
        <v>1087</v>
      </c>
      <c r="F724" t="s">
        <v>1088</v>
      </c>
      <c r="G724" t="s">
        <v>1119</v>
      </c>
      <c r="H724">
        <v>3101806</v>
      </c>
      <c r="I724" t="s">
        <v>214</v>
      </c>
      <c r="J724" s="14">
        <v>46055</v>
      </c>
      <c r="K724" t="s">
        <v>1090</v>
      </c>
      <c r="L724" t="e">
        <f>VLOOKUP(H724,Sheet1!H:H,1,0)</f>
        <v>#N/A</v>
      </c>
    </row>
    <row r="725" spans="1:12">
      <c r="A725" t="s">
        <v>793</v>
      </c>
      <c r="B725" t="s">
        <v>209</v>
      </c>
      <c r="C725" t="s">
        <v>210</v>
      </c>
      <c r="D725" t="s">
        <v>211</v>
      </c>
      <c r="E725" t="s">
        <v>1091</v>
      </c>
      <c r="F725" t="s">
        <v>1048</v>
      </c>
      <c r="G725" t="s">
        <v>1120</v>
      </c>
      <c r="H725">
        <v>3237606</v>
      </c>
      <c r="I725" t="s">
        <v>220</v>
      </c>
      <c r="J725" s="14">
        <v>46097</v>
      </c>
      <c r="K725" t="s">
        <v>1093</v>
      </c>
      <c r="L725" t="e">
        <f>VLOOKUP(H725,Sheet1!H:H,1,0)</f>
        <v>#N/A</v>
      </c>
    </row>
    <row r="726" spans="1:12">
      <c r="A726" t="s">
        <v>793</v>
      </c>
      <c r="B726" t="s">
        <v>209</v>
      </c>
      <c r="C726" t="s">
        <v>210</v>
      </c>
      <c r="D726" t="s">
        <v>211</v>
      </c>
      <c r="E726" t="s">
        <v>1087</v>
      </c>
      <c r="F726" t="s">
        <v>1088</v>
      </c>
      <c r="G726" t="s">
        <v>1121</v>
      </c>
      <c r="H726">
        <v>2962206</v>
      </c>
      <c r="I726" t="s">
        <v>214</v>
      </c>
      <c r="J726" s="14">
        <v>45232</v>
      </c>
      <c r="K726" t="s">
        <v>1090</v>
      </c>
      <c r="L726" t="e">
        <f>VLOOKUP(H726,Sheet1!H:H,1,0)</f>
        <v>#N/A</v>
      </c>
    </row>
    <row r="727" spans="1:12">
      <c r="A727" t="s">
        <v>793</v>
      </c>
      <c r="B727" t="s">
        <v>209</v>
      </c>
      <c r="C727" t="s">
        <v>210</v>
      </c>
      <c r="D727" t="s">
        <v>211</v>
      </c>
      <c r="E727" t="s">
        <v>1091</v>
      </c>
      <c r="F727" t="s">
        <v>1048</v>
      </c>
      <c r="G727" t="s">
        <v>1122</v>
      </c>
      <c r="H727">
        <v>3229206</v>
      </c>
      <c r="I727" t="s">
        <v>220</v>
      </c>
      <c r="J727" s="14">
        <v>46055</v>
      </c>
      <c r="K727" t="s">
        <v>1093</v>
      </c>
      <c r="L727" t="e">
        <f>VLOOKUP(H727,Sheet1!H:H,1,0)</f>
        <v>#N/A</v>
      </c>
    </row>
    <row r="728" spans="1:12">
      <c r="A728" t="s">
        <v>793</v>
      </c>
      <c r="B728" t="s">
        <v>209</v>
      </c>
      <c r="C728" t="s">
        <v>210</v>
      </c>
      <c r="D728" t="s">
        <v>211</v>
      </c>
      <c r="E728" t="s">
        <v>794</v>
      </c>
      <c r="F728" t="s">
        <v>1096</v>
      </c>
      <c r="G728" t="s">
        <v>1098</v>
      </c>
      <c r="H728">
        <v>2657006</v>
      </c>
      <c r="I728" t="s">
        <v>225</v>
      </c>
      <c r="J728" s="14">
        <v>44111</v>
      </c>
      <c r="K728" t="s">
        <v>797</v>
      </c>
      <c r="L728" t="e">
        <f>VLOOKUP(H728,Sheet1!H:H,1,0)</f>
        <v>#N/A</v>
      </c>
    </row>
    <row r="729" spans="1:12">
      <c r="A729" t="s">
        <v>793</v>
      </c>
      <c r="B729" t="s">
        <v>209</v>
      </c>
      <c r="C729" t="s">
        <v>210</v>
      </c>
      <c r="D729" t="s">
        <v>211</v>
      </c>
      <c r="E729" t="s">
        <v>1095</v>
      </c>
      <c r="F729" t="s">
        <v>1096</v>
      </c>
      <c r="G729" t="s">
        <v>1123</v>
      </c>
      <c r="H729">
        <v>3118406</v>
      </c>
      <c r="I729" t="s">
        <v>214</v>
      </c>
      <c r="J729" s="14">
        <v>45733</v>
      </c>
      <c r="K729" t="s">
        <v>1098</v>
      </c>
      <c r="L729" t="e">
        <f>VLOOKUP(H729,Sheet1!H:H,1,0)</f>
        <v>#N/A</v>
      </c>
    </row>
    <row r="730" spans="1:12">
      <c r="A730" t="s">
        <v>793</v>
      </c>
      <c r="B730" t="s">
        <v>209</v>
      </c>
      <c r="C730" t="s">
        <v>210</v>
      </c>
      <c r="D730" t="s">
        <v>211</v>
      </c>
      <c r="E730" t="s">
        <v>1095</v>
      </c>
      <c r="F730" t="s">
        <v>1096</v>
      </c>
      <c r="G730" t="s">
        <v>1124</v>
      </c>
      <c r="H730">
        <v>3130606</v>
      </c>
      <c r="I730" t="s">
        <v>214</v>
      </c>
      <c r="J730" s="14">
        <v>45831</v>
      </c>
      <c r="K730" t="s">
        <v>1098</v>
      </c>
      <c r="L730" t="e">
        <f>VLOOKUP(H730,Sheet1!H:H,1,0)</f>
        <v>#N/A</v>
      </c>
    </row>
    <row r="731" spans="1:12">
      <c r="A731" t="s">
        <v>793</v>
      </c>
      <c r="B731" t="s">
        <v>209</v>
      </c>
      <c r="C731" t="s">
        <v>210</v>
      </c>
      <c r="D731" t="s">
        <v>211</v>
      </c>
      <c r="E731" t="s">
        <v>1091</v>
      </c>
      <c r="F731" t="s">
        <v>1048</v>
      </c>
      <c r="G731" t="s">
        <v>1125</v>
      </c>
      <c r="H731">
        <v>3099606</v>
      </c>
      <c r="I731" t="s">
        <v>214</v>
      </c>
      <c r="J731" s="14">
        <v>45614</v>
      </c>
      <c r="K731" t="s">
        <v>1093</v>
      </c>
      <c r="L731" t="e">
        <f>VLOOKUP(H731,Sheet1!H:H,1,0)</f>
        <v>#N/A</v>
      </c>
    </row>
    <row r="732" spans="1:12">
      <c r="A732" t="s">
        <v>793</v>
      </c>
      <c r="B732" t="s">
        <v>324</v>
      </c>
      <c r="C732" t="s">
        <v>210</v>
      </c>
      <c r="D732" t="s">
        <v>287</v>
      </c>
      <c r="E732" t="s">
        <v>864</v>
      </c>
      <c r="F732" t="s">
        <v>823</v>
      </c>
      <c r="G732" t="s">
        <v>1126</v>
      </c>
      <c r="H732">
        <v>3145406</v>
      </c>
      <c r="I732" t="s">
        <v>731</v>
      </c>
      <c r="J732" s="14">
        <v>45887</v>
      </c>
      <c r="K732" t="s">
        <v>831</v>
      </c>
      <c r="L732" t="e">
        <f>VLOOKUP(H732,Sheet1!H:H,1,0)</f>
        <v>#N/A</v>
      </c>
    </row>
    <row r="733" spans="1:12">
      <c r="A733" t="s">
        <v>793</v>
      </c>
      <c r="B733" t="s">
        <v>209</v>
      </c>
      <c r="C733" t="s">
        <v>210</v>
      </c>
      <c r="D733" t="s">
        <v>211</v>
      </c>
      <c r="E733" t="s">
        <v>1091</v>
      </c>
      <c r="F733" t="s">
        <v>1048</v>
      </c>
      <c r="G733" t="s">
        <v>1127</v>
      </c>
      <c r="H733">
        <v>3037106</v>
      </c>
      <c r="I733" t="s">
        <v>214</v>
      </c>
      <c r="J733" s="14">
        <v>45555</v>
      </c>
      <c r="K733" t="s">
        <v>1093</v>
      </c>
      <c r="L733" t="e">
        <f>VLOOKUP(H733,Sheet1!H:H,1,0)</f>
        <v>#N/A</v>
      </c>
    </row>
    <row r="734" spans="1:12">
      <c r="A734" t="s">
        <v>793</v>
      </c>
      <c r="B734" t="s">
        <v>209</v>
      </c>
      <c r="C734" t="s">
        <v>210</v>
      </c>
      <c r="D734" t="s">
        <v>211</v>
      </c>
      <c r="E734" t="s">
        <v>1091</v>
      </c>
      <c r="F734" t="s">
        <v>1048</v>
      </c>
      <c r="G734" t="s">
        <v>1128</v>
      </c>
      <c r="H734">
        <v>3107306</v>
      </c>
      <c r="I734" t="s">
        <v>214</v>
      </c>
      <c r="J734" s="14">
        <v>45644</v>
      </c>
      <c r="K734" t="s">
        <v>1093</v>
      </c>
      <c r="L734" t="e">
        <f>VLOOKUP(H734,Sheet1!H:H,1,0)</f>
        <v>#N/A</v>
      </c>
    </row>
    <row r="735" spans="1:12">
      <c r="A735" t="s">
        <v>793</v>
      </c>
      <c r="B735" t="s">
        <v>324</v>
      </c>
      <c r="C735" t="s">
        <v>210</v>
      </c>
      <c r="D735" t="s">
        <v>287</v>
      </c>
      <c r="E735" t="s">
        <v>830</v>
      </c>
      <c r="F735" t="s">
        <v>823</v>
      </c>
      <c r="G735" t="s">
        <v>1129</v>
      </c>
      <c r="H735">
        <v>2996306</v>
      </c>
      <c r="I735" t="s">
        <v>1130</v>
      </c>
      <c r="J735" s="14">
        <v>45357</v>
      </c>
      <c r="K735" t="s">
        <v>797</v>
      </c>
      <c r="L735" t="e">
        <f>VLOOKUP(H735,Sheet1!H:H,1,0)</f>
        <v>#N/A</v>
      </c>
    </row>
    <row r="736" spans="1:12">
      <c r="A736" t="s">
        <v>793</v>
      </c>
      <c r="B736" t="s">
        <v>209</v>
      </c>
      <c r="C736" t="s">
        <v>210</v>
      </c>
      <c r="D736" t="s">
        <v>211</v>
      </c>
      <c r="E736" t="s">
        <v>1087</v>
      </c>
      <c r="F736" t="s">
        <v>1088</v>
      </c>
      <c r="G736" t="s">
        <v>1131</v>
      </c>
      <c r="H736">
        <v>2491606</v>
      </c>
      <c r="I736" t="s">
        <v>214</v>
      </c>
      <c r="J736" s="14">
        <v>43236</v>
      </c>
      <c r="K736" t="s">
        <v>1090</v>
      </c>
      <c r="L736" t="e">
        <f>VLOOKUP(H736,Sheet1!H:H,1,0)</f>
        <v>#N/A</v>
      </c>
    </row>
    <row r="737" spans="1:12">
      <c r="A737" t="s">
        <v>793</v>
      </c>
      <c r="B737" t="s">
        <v>209</v>
      </c>
      <c r="C737" t="s">
        <v>210</v>
      </c>
      <c r="D737" t="s">
        <v>211</v>
      </c>
      <c r="E737" t="s">
        <v>1095</v>
      </c>
      <c r="F737" t="s">
        <v>1088</v>
      </c>
      <c r="G737" t="s">
        <v>1132</v>
      </c>
      <c r="H737">
        <v>2898106</v>
      </c>
      <c r="I737" t="s">
        <v>214</v>
      </c>
      <c r="J737" s="14">
        <v>44973</v>
      </c>
      <c r="K737" t="s">
        <v>1098</v>
      </c>
      <c r="L737" t="e">
        <f>VLOOKUP(H737,Sheet1!H:H,1,0)</f>
        <v>#N/A</v>
      </c>
    </row>
    <row r="738" spans="1:12">
      <c r="A738" t="s">
        <v>793</v>
      </c>
      <c r="B738" t="s">
        <v>209</v>
      </c>
      <c r="C738" t="s">
        <v>210</v>
      </c>
      <c r="D738" t="s">
        <v>1133</v>
      </c>
      <c r="E738" t="s">
        <v>1087</v>
      </c>
      <c r="F738" t="s">
        <v>1088</v>
      </c>
      <c r="G738" t="s">
        <v>1134</v>
      </c>
      <c r="H738">
        <v>2778506</v>
      </c>
      <c r="I738" t="s">
        <v>243</v>
      </c>
      <c r="J738" s="14">
        <v>44537</v>
      </c>
      <c r="K738" t="s">
        <v>1090</v>
      </c>
      <c r="L738" t="e">
        <f>VLOOKUP(H738,Sheet1!H:H,1,0)</f>
        <v>#N/A</v>
      </c>
    </row>
    <row r="739" spans="1:12">
      <c r="A739" t="s">
        <v>793</v>
      </c>
      <c r="B739" t="s">
        <v>209</v>
      </c>
      <c r="C739" t="s">
        <v>210</v>
      </c>
      <c r="D739" t="s">
        <v>211</v>
      </c>
      <c r="E739" t="s">
        <v>1091</v>
      </c>
      <c r="F739" t="s">
        <v>1048</v>
      </c>
      <c r="G739" t="s">
        <v>1135</v>
      </c>
      <c r="H739">
        <v>2694106</v>
      </c>
      <c r="I739" t="s">
        <v>214</v>
      </c>
      <c r="J739" s="14">
        <v>44305</v>
      </c>
      <c r="K739" t="s">
        <v>1093</v>
      </c>
      <c r="L739" t="e">
        <f>VLOOKUP(H739,Sheet1!H:H,1,0)</f>
        <v>#N/A</v>
      </c>
    </row>
    <row r="740" spans="1:12">
      <c r="A740" t="s">
        <v>793</v>
      </c>
      <c r="B740" t="s">
        <v>209</v>
      </c>
      <c r="C740" t="s">
        <v>210</v>
      </c>
      <c r="D740" t="s">
        <v>211</v>
      </c>
      <c r="E740" t="s">
        <v>1087</v>
      </c>
      <c r="F740" t="s">
        <v>1088</v>
      </c>
      <c r="G740" t="s">
        <v>1136</v>
      </c>
      <c r="H740">
        <v>2410006</v>
      </c>
      <c r="I740" t="s">
        <v>727</v>
      </c>
      <c r="J740" s="14">
        <v>42923</v>
      </c>
      <c r="K740" t="s">
        <v>1090</v>
      </c>
      <c r="L740" t="e">
        <f>VLOOKUP(H740,Sheet1!H:H,1,0)</f>
        <v>#N/A</v>
      </c>
    </row>
    <row r="741" spans="1:12">
      <c r="A741" t="s">
        <v>793</v>
      </c>
      <c r="B741" t="s">
        <v>209</v>
      </c>
      <c r="C741" t="s">
        <v>210</v>
      </c>
      <c r="D741" t="s">
        <v>211</v>
      </c>
      <c r="E741" t="s">
        <v>1095</v>
      </c>
      <c r="F741" t="s">
        <v>1096</v>
      </c>
      <c r="G741" t="s">
        <v>1137</v>
      </c>
      <c r="H741">
        <v>2987406</v>
      </c>
      <c r="I741" t="s">
        <v>727</v>
      </c>
      <c r="J741" s="14">
        <v>45307</v>
      </c>
      <c r="K741" t="s">
        <v>1098</v>
      </c>
      <c r="L741" t="e">
        <f>VLOOKUP(H741,Sheet1!H:H,1,0)</f>
        <v>#N/A</v>
      </c>
    </row>
    <row r="742" spans="1:12">
      <c r="A742" t="s">
        <v>793</v>
      </c>
      <c r="B742" t="s">
        <v>209</v>
      </c>
      <c r="C742" t="s">
        <v>210</v>
      </c>
      <c r="D742" t="s">
        <v>211</v>
      </c>
      <c r="E742" t="s">
        <v>1095</v>
      </c>
      <c r="F742" t="s">
        <v>1096</v>
      </c>
      <c r="G742" t="s">
        <v>1138</v>
      </c>
      <c r="H742">
        <v>2767506</v>
      </c>
      <c r="I742" t="s">
        <v>214</v>
      </c>
      <c r="J742" s="14">
        <v>46069</v>
      </c>
      <c r="K742" t="s">
        <v>1098</v>
      </c>
      <c r="L742" t="e">
        <f>VLOOKUP(H742,Sheet1!H:H,1,0)</f>
        <v>#N/A</v>
      </c>
    </row>
    <row r="743" spans="1:12">
      <c r="A743" t="s">
        <v>793</v>
      </c>
      <c r="B743" t="s">
        <v>209</v>
      </c>
      <c r="C743" t="s">
        <v>210</v>
      </c>
      <c r="D743" t="s">
        <v>211</v>
      </c>
      <c r="E743" t="s">
        <v>1091</v>
      </c>
      <c r="F743" t="s">
        <v>1048</v>
      </c>
      <c r="G743" t="s">
        <v>1139</v>
      </c>
      <c r="H743">
        <v>2487206</v>
      </c>
      <c r="I743" t="s">
        <v>727</v>
      </c>
      <c r="J743" s="14">
        <v>43206</v>
      </c>
      <c r="K743" t="s">
        <v>1093</v>
      </c>
      <c r="L743" t="e">
        <f>VLOOKUP(H743,Sheet1!H:H,1,0)</f>
        <v>#N/A</v>
      </c>
    </row>
    <row r="744" spans="1:12">
      <c r="A744" t="s">
        <v>793</v>
      </c>
      <c r="B744" t="s">
        <v>209</v>
      </c>
      <c r="C744" t="s">
        <v>210</v>
      </c>
      <c r="D744" t="s">
        <v>211</v>
      </c>
      <c r="E744" t="s">
        <v>1091</v>
      </c>
      <c r="F744" t="s">
        <v>1048</v>
      </c>
      <c r="G744" t="s">
        <v>1140</v>
      </c>
      <c r="H744">
        <v>3096606</v>
      </c>
      <c r="I744" t="s">
        <v>214</v>
      </c>
      <c r="J744" s="14">
        <v>45614</v>
      </c>
      <c r="K744" t="s">
        <v>1093</v>
      </c>
      <c r="L744" t="e">
        <f>VLOOKUP(H744,Sheet1!H:H,1,0)</f>
        <v>#N/A</v>
      </c>
    </row>
    <row r="745" spans="1:12">
      <c r="A745" t="s">
        <v>793</v>
      </c>
      <c r="B745" t="s">
        <v>209</v>
      </c>
      <c r="C745" t="s">
        <v>210</v>
      </c>
      <c r="D745" t="s">
        <v>211</v>
      </c>
      <c r="E745" t="s">
        <v>1091</v>
      </c>
      <c r="F745" t="s">
        <v>1048</v>
      </c>
      <c r="G745" t="s">
        <v>1141</v>
      </c>
      <c r="H745">
        <v>3008106</v>
      </c>
      <c r="I745" t="s">
        <v>214</v>
      </c>
      <c r="J745" s="14">
        <v>45414</v>
      </c>
      <c r="K745" t="s">
        <v>1093</v>
      </c>
      <c r="L745" t="e">
        <f>VLOOKUP(H745,Sheet1!H:H,1,0)</f>
        <v>#N/A</v>
      </c>
    </row>
    <row r="746" spans="1:12">
      <c r="A746" t="s">
        <v>793</v>
      </c>
      <c r="B746" t="s">
        <v>324</v>
      </c>
      <c r="C746" t="s">
        <v>210</v>
      </c>
      <c r="D746" t="s">
        <v>287</v>
      </c>
      <c r="E746" t="s">
        <v>830</v>
      </c>
      <c r="F746" t="s">
        <v>823</v>
      </c>
      <c r="G746" t="s">
        <v>1142</v>
      </c>
      <c r="H746">
        <v>2704406</v>
      </c>
      <c r="I746" t="s">
        <v>1130</v>
      </c>
      <c r="J746" s="14">
        <v>44363</v>
      </c>
      <c r="K746" t="s">
        <v>797</v>
      </c>
      <c r="L746" t="e">
        <f>VLOOKUP(H746,Sheet1!H:H,1,0)</f>
        <v>#N/A</v>
      </c>
    </row>
    <row r="747" spans="1:12">
      <c r="A747" t="s">
        <v>793</v>
      </c>
      <c r="B747" t="s">
        <v>209</v>
      </c>
      <c r="C747" t="s">
        <v>210</v>
      </c>
      <c r="D747" t="s">
        <v>1133</v>
      </c>
      <c r="E747" t="s">
        <v>794</v>
      </c>
      <c r="F747" t="s">
        <v>1088</v>
      </c>
      <c r="G747" t="s">
        <v>1090</v>
      </c>
      <c r="H747">
        <v>1744606</v>
      </c>
      <c r="I747" t="s">
        <v>225</v>
      </c>
      <c r="J747" s="14">
        <v>41442</v>
      </c>
      <c r="K747" t="s">
        <v>797</v>
      </c>
      <c r="L747" t="e">
        <f>VLOOKUP(H747,Sheet1!H:H,1,0)</f>
        <v>#N/A</v>
      </c>
    </row>
    <row r="748" spans="1:12">
      <c r="A748" t="s">
        <v>793</v>
      </c>
      <c r="B748" t="s">
        <v>324</v>
      </c>
      <c r="C748" t="s">
        <v>210</v>
      </c>
      <c r="D748" t="s">
        <v>287</v>
      </c>
      <c r="E748" t="s">
        <v>794</v>
      </c>
      <c r="F748" t="s">
        <v>823</v>
      </c>
      <c r="G748" t="s">
        <v>1143</v>
      </c>
      <c r="H748">
        <v>3119606</v>
      </c>
      <c r="I748" t="s">
        <v>301</v>
      </c>
      <c r="J748" s="14">
        <v>45748</v>
      </c>
      <c r="K748" t="s">
        <v>797</v>
      </c>
      <c r="L748" t="e">
        <f>VLOOKUP(H748,Sheet1!H:H,1,0)</f>
        <v>#N/A</v>
      </c>
    </row>
    <row r="749" spans="1:12">
      <c r="A749" t="s">
        <v>793</v>
      </c>
      <c r="B749" t="s">
        <v>209</v>
      </c>
      <c r="C749" t="s">
        <v>210</v>
      </c>
      <c r="D749" t="s">
        <v>1133</v>
      </c>
      <c r="E749" t="s">
        <v>1087</v>
      </c>
      <c r="F749" t="s">
        <v>1088</v>
      </c>
      <c r="G749" t="s">
        <v>1144</v>
      </c>
      <c r="H749">
        <v>3239606</v>
      </c>
      <c r="I749" t="s">
        <v>220</v>
      </c>
      <c r="J749" s="14">
        <v>46104</v>
      </c>
      <c r="K749" t="s">
        <v>1090</v>
      </c>
      <c r="L749" t="e">
        <f>VLOOKUP(H749,Sheet1!H:H,1,0)</f>
        <v>#N/A</v>
      </c>
    </row>
    <row r="750" spans="1:12">
      <c r="A750" t="s">
        <v>793</v>
      </c>
      <c r="B750" t="s">
        <v>293</v>
      </c>
      <c r="C750" t="s">
        <v>210</v>
      </c>
      <c r="D750" t="s">
        <v>211</v>
      </c>
      <c r="E750" t="s">
        <v>1145</v>
      </c>
      <c r="F750" t="s">
        <v>953</v>
      </c>
      <c r="G750" t="s">
        <v>1146</v>
      </c>
      <c r="H750">
        <v>2054606</v>
      </c>
      <c r="I750" t="s">
        <v>761</v>
      </c>
      <c r="J750" s="14">
        <v>45810</v>
      </c>
      <c r="K750" t="s">
        <v>1147</v>
      </c>
      <c r="L750" t="e">
        <f>VLOOKUP(H750,Sheet1!H:H,1,0)</f>
        <v>#N/A</v>
      </c>
    </row>
    <row r="751" spans="1:12">
      <c r="A751" t="s">
        <v>793</v>
      </c>
      <c r="B751" t="s">
        <v>324</v>
      </c>
      <c r="C751" t="s">
        <v>210</v>
      </c>
      <c r="D751" t="s">
        <v>287</v>
      </c>
      <c r="E751" t="s">
        <v>864</v>
      </c>
      <c r="F751" t="s">
        <v>823</v>
      </c>
      <c r="G751" t="s">
        <v>1148</v>
      </c>
      <c r="H751">
        <v>2995606</v>
      </c>
      <c r="I751" t="s">
        <v>1149</v>
      </c>
      <c r="J751" s="14">
        <v>45967</v>
      </c>
      <c r="K751" t="s">
        <v>831</v>
      </c>
      <c r="L751" t="e">
        <f>VLOOKUP(H751,Sheet1!H:H,1,0)</f>
        <v>#N/A</v>
      </c>
    </row>
    <row r="752" spans="1:12">
      <c r="A752" t="s">
        <v>793</v>
      </c>
      <c r="B752" t="s">
        <v>293</v>
      </c>
      <c r="C752" t="s">
        <v>210</v>
      </c>
      <c r="D752" t="s">
        <v>211</v>
      </c>
      <c r="E752" t="s">
        <v>1150</v>
      </c>
      <c r="F752" t="s">
        <v>1151</v>
      </c>
      <c r="G752" t="s">
        <v>1152</v>
      </c>
      <c r="H752">
        <v>3206806</v>
      </c>
      <c r="I752" t="s">
        <v>214</v>
      </c>
      <c r="J752" s="14">
        <v>45992</v>
      </c>
      <c r="K752" t="s">
        <v>1153</v>
      </c>
      <c r="L752" t="e">
        <f>VLOOKUP(H752,Sheet1!H:H,1,0)</f>
        <v>#N/A</v>
      </c>
    </row>
    <row r="753" spans="1:12">
      <c r="A753" t="s">
        <v>793</v>
      </c>
      <c r="B753" t="s">
        <v>293</v>
      </c>
      <c r="C753" t="s">
        <v>210</v>
      </c>
      <c r="D753" t="s">
        <v>211</v>
      </c>
      <c r="E753" t="s">
        <v>1145</v>
      </c>
      <c r="F753" t="s">
        <v>953</v>
      </c>
      <c r="G753" t="s">
        <v>1154</v>
      </c>
      <c r="H753">
        <v>3128406</v>
      </c>
      <c r="I753" t="s">
        <v>214</v>
      </c>
      <c r="J753" s="14">
        <v>45824</v>
      </c>
      <c r="K753" t="s">
        <v>1147</v>
      </c>
      <c r="L753" t="e">
        <f>VLOOKUP(H753,Sheet1!H:H,1,0)</f>
        <v>#N/A</v>
      </c>
    </row>
    <row r="754" spans="1:12">
      <c r="A754" t="s">
        <v>793</v>
      </c>
      <c r="B754" t="s">
        <v>293</v>
      </c>
      <c r="C754" t="s">
        <v>210</v>
      </c>
      <c r="D754" t="s">
        <v>211</v>
      </c>
      <c r="E754" t="s">
        <v>1145</v>
      </c>
      <c r="F754" t="s">
        <v>953</v>
      </c>
      <c r="G754" t="s">
        <v>1155</v>
      </c>
      <c r="H754">
        <v>3028106</v>
      </c>
      <c r="I754" t="s">
        <v>214</v>
      </c>
      <c r="J754" s="14">
        <v>45537</v>
      </c>
      <c r="K754" t="s">
        <v>1147</v>
      </c>
      <c r="L754" t="e">
        <f>VLOOKUP(H754,Sheet1!H:H,1,0)</f>
        <v>#N/A</v>
      </c>
    </row>
    <row r="755" spans="1:12">
      <c r="A755" t="s">
        <v>793</v>
      </c>
      <c r="B755" t="s">
        <v>293</v>
      </c>
      <c r="C755" t="s">
        <v>210</v>
      </c>
      <c r="D755" t="s">
        <v>211</v>
      </c>
      <c r="E755" t="s">
        <v>1156</v>
      </c>
      <c r="F755" t="s">
        <v>953</v>
      </c>
      <c r="G755" t="s">
        <v>1157</v>
      </c>
      <c r="H755">
        <v>3030906</v>
      </c>
      <c r="I755" t="s">
        <v>214</v>
      </c>
      <c r="J755" s="14">
        <v>45541</v>
      </c>
      <c r="K755" t="s">
        <v>1158</v>
      </c>
      <c r="L755" t="e">
        <f>VLOOKUP(H755,Sheet1!H:H,1,0)</f>
        <v>#N/A</v>
      </c>
    </row>
    <row r="756" spans="1:12">
      <c r="A756" t="s">
        <v>793</v>
      </c>
      <c r="B756" t="s">
        <v>293</v>
      </c>
      <c r="C756" t="s">
        <v>210</v>
      </c>
      <c r="D756" t="s">
        <v>211</v>
      </c>
      <c r="E756" t="s">
        <v>1150</v>
      </c>
      <c r="F756" t="s">
        <v>1151</v>
      </c>
      <c r="G756" t="s">
        <v>1159</v>
      </c>
      <c r="H756">
        <v>3100206</v>
      </c>
      <c r="I756" t="s">
        <v>214</v>
      </c>
      <c r="J756" s="14">
        <v>45862</v>
      </c>
      <c r="K756" t="s">
        <v>1153</v>
      </c>
      <c r="L756" t="e">
        <f>VLOOKUP(H756,Sheet1!H:H,1,0)</f>
        <v>#N/A</v>
      </c>
    </row>
    <row r="757" spans="1:12">
      <c r="A757" t="s">
        <v>793</v>
      </c>
      <c r="B757" t="s">
        <v>293</v>
      </c>
      <c r="C757" t="s">
        <v>210</v>
      </c>
      <c r="D757" t="s">
        <v>211</v>
      </c>
      <c r="E757" t="s">
        <v>1156</v>
      </c>
      <c r="F757" t="s">
        <v>1160</v>
      </c>
      <c r="G757" t="s">
        <v>1161</v>
      </c>
      <c r="H757">
        <v>2765106</v>
      </c>
      <c r="I757" t="s">
        <v>222</v>
      </c>
      <c r="J757" s="14">
        <v>44516</v>
      </c>
      <c r="K757" t="s">
        <v>1158</v>
      </c>
      <c r="L757" t="e">
        <f>VLOOKUP(H757,Sheet1!H:H,1,0)</f>
        <v>#N/A</v>
      </c>
    </row>
    <row r="758" spans="1:12">
      <c r="A758" t="s">
        <v>793</v>
      </c>
      <c r="B758" t="s">
        <v>293</v>
      </c>
      <c r="C758" t="s">
        <v>210</v>
      </c>
      <c r="D758" t="s">
        <v>211</v>
      </c>
      <c r="E758" t="s">
        <v>1156</v>
      </c>
      <c r="F758" t="s">
        <v>1160</v>
      </c>
      <c r="G758" t="s">
        <v>1162</v>
      </c>
      <c r="H758">
        <v>2960006</v>
      </c>
      <c r="I758" t="s">
        <v>214</v>
      </c>
      <c r="J758" s="14">
        <v>45779</v>
      </c>
      <c r="K758" t="s">
        <v>1158</v>
      </c>
      <c r="L758" t="e">
        <f>VLOOKUP(H758,Sheet1!H:H,1,0)</f>
        <v>#N/A</v>
      </c>
    </row>
    <row r="759" spans="1:12">
      <c r="A759" t="s">
        <v>793</v>
      </c>
      <c r="B759" t="s">
        <v>293</v>
      </c>
      <c r="C759" t="s">
        <v>210</v>
      </c>
      <c r="D759" t="s">
        <v>211</v>
      </c>
      <c r="E759" t="s">
        <v>1150</v>
      </c>
      <c r="F759" t="s">
        <v>1151</v>
      </c>
      <c r="G759" t="s">
        <v>1163</v>
      </c>
      <c r="H759">
        <v>3089506</v>
      </c>
      <c r="I759" t="s">
        <v>214</v>
      </c>
      <c r="J759" s="14">
        <v>45901</v>
      </c>
      <c r="K759" t="s">
        <v>1153</v>
      </c>
      <c r="L759" t="e">
        <f>VLOOKUP(H759,Sheet1!H:H,1,0)</f>
        <v>#N/A</v>
      </c>
    </row>
    <row r="760" spans="1:12">
      <c r="A760" t="s">
        <v>793</v>
      </c>
      <c r="B760" t="s">
        <v>293</v>
      </c>
      <c r="C760" t="s">
        <v>210</v>
      </c>
      <c r="D760" t="s">
        <v>211</v>
      </c>
      <c r="E760" t="s">
        <v>1156</v>
      </c>
      <c r="F760" t="s">
        <v>1160</v>
      </c>
      <c r="G760" t="s">
        <v>1164</v>
      </c>
      <c r="H760">
        <v>3117006</v>
      </c>
      <c r="I760" t="s">
        <v>214</v>
      </c>
      <c r="J760" s="14">
        <v>45719</v>
      </c>
      <c r="K760" t="s">
        <v>1158</v>
      </c>
      <c r="L760" t="e">
        <f>VLOOKUP(H760,Sheet1!H:H,1,0)</f>
        <v>#N/A</v>
      </c>
    </row>
    <row r="761" spans="1:12">
      <c r="A761" t="s">
        <v>793</v>
      </c>
      <c r="B761" t="s">
        <v>293</v>
      </c>
      <c r="C761" t="s">
        <v>210</v>
      </c>
      <c r="D761" t="s">
        <v>211</v>
      </c>
      <c r="E761" t="s">
        <v>1150</v>
      </c>
      <c r="F761" t="s">
        <v>1151</v>
      </c>
      <c r="G761" t="s">
        <v>1165</v>
      </c>
      <c r="H761">
        <v>3228806</v>
      </c>
      <c r="I761" t="s">
        <v>214</v>
      </c>
      <c r="J761" s="14">
        <v>46055</v>
      </c>
      <c r="K761" t="s">
        <v>1153</v>
      </c>
      <c r="L761" t="e">
        <f>VLOOKUP(H761,Sheet1!H:H,1,0)</f>
        <v>#N/A</v>
      </c>
    </row>
    <row r="762" spans="1:12">
      <c r="A762" t="s">
        <v>793</v>
      </c>
      <c r="B762" t="s">
        <v>293</v>
      </c>
      <c r="C762" t="s">
        <v>210</v>
      </c>
      <c r="D762" t="s">
        <v>211</v>
      </c>
      <c r="E762" t="s">
        <v>1150</v>
      </c>
      <c r="F762" t="s">
        <v>1151</v>
      </c>
      <c r="G762" t="s">
        <v>1166</v>
      </c>
      <c r="H762">
        <v>3228906</v>
      </c>
      <c r="I762" t="s">
        <v>214</v>
      </c>
      <c r="J762" s="14">
        <v>46055</v>
      </c>
      <c r="K762" t="s">
        <v>1153</v>
      </c>
      <c r="L762" t="e">
        <f>VLOOKUP(H762,Sheet1!H:H,1,0)</f>
        <v>#N/A</v>
      </c>
    </row>
    <row r="763" spans="1:12">
      <c r="A763" t="s">
        <v>793</v>
      </c>
      <c r="B763" t="s">
        <v>324</v>
      </c>
      <c r="C763" t="s">
        <v>210</v>
      </c>
      <c r="D763" t="s">
        <v>287</v>
      </c>
      <c r="E763" t="s">
        <v>794</v>
      </c>
      <c r="F763" t="s">
        <v>823</v>
      </c>
      <c r="G763" t="s">
        <v>797</v>
      </c>
      <c r="H763">
        <v>1558106</v>
      </c>
      <c r="I763" t="s">
        <v>1167</v>
      </c>
      <c r="J763" s="14">
        <v>40147</v>
      </c>
      <c r="K763" t="s">
        <v>797</v>
      </c>
      <c r="L763" t="e">
        <f>VLOOKUP(H763,Sheet1!H:H,1,0)</f>
        <v>#N/A</v>
      </c>
    </row>
    <row r="764" spans="1:12">
      <c r="A764" t="s">
        <v>793</v>
      </c>
      <c r="B764" t="s">
        <v>293</v>
      </c>
      <c r="C764" t="s">
        <v>210</v>
      </c>
      <c r="D764" t="s">
        <v>211</v>
      </c>
      <c r="E764" t="s">
        <v>1145</v>
      </c>
      <c r="F764" t="s">
        <v>953</v>
      </c>
      <c r="G764" t="s">
        <v>1147</v>
      </c>
      <c r="H764">
        <v>2443806</v>
      </c>
      <c r="I764" t="s">
        <v>225</v>
      </c>
      <c r="J764" s="14">
        <v>45536</v>
      </c>
      <c r="K764" t="s">
        <v>1147</v>
      </c>
      <c r="L764" t="e">
        <f>VLOOKUP(H764,Sheet1!H:H,1,0)</f>
        <v>#N/A</v>
      </c>
    </row>
    <row r="765" spans="1:12">
      <c r="A765" t="s">
        <v>793</v>
      </c>
      <c r="B765" t="s">
        <v>293</v>
      </c>
      <c r="C765" t="s">
        <v>210</v>
      </c>
      <c r="D765" t="s">
        <v>211</v>
      </c>
      <c r="E765" t="s">
        <v>1145</v>
      </c>
      <c r="F765" t="s">
        <v>953</v>
      </c>
      <c r="G765" t="s">
        <v>1168</v>
      </c>
      <c r="H765">
        <v>2592406</v>
      </c>
      <c r="I765" t="s">
        <v>222</v>
      </c>
      <c r="J765" s="14">
        <v>44137</v>
      </c>
      <c r="K765" t="s">
        <v>1147</v>
      </c>
      <c r="L765" t="e">
        <f>VLOOKUP(H765,Sheet1!H:H,1,0)</f>
        <v>#N/A</v>
      </c>
    </row>
    <row r="766" spans="1:12">
      <c r="A766" t="s">
        <v>793</v>
      </c>
      <c r="B766" t="s">
        <v>293</v>
      </c>
      <c r="C766" t="s">
        <v>210</v>
      </c>
      <c r="D766" t="s">
        <v>211</v>
      </c>
      <c r="E766" t="s">
        <v>1150</v>
      </c>
      <c r="F766" t="s">
        <v>1151</v>
      </c>
      <c r="G766" t="s">
        <v>1169</v>
      </c>
      <c r="H766">
        <v>2924506</v>
      </c>
      <c r="I766" t="s">
        <v>214</v>
      </c>
      <c r="J766" s="14">
        <v>45093</v>
      </c>
      <c r="K766" t="s">
        <v>1153</v>
      </c>
      <c r="L766" t="e">
        <f>VLOOKUP(H766,Sheet1!H:H,1,0)</f>
        <v>#N/A</v>
      </c>
    </row>
    <row r="767" spans="1:12">
      <c r="A767" t="s">
        <v>793</v>
      </c>
      <c r="B767" t="s">
        <v>293</v>
      </c>
      <c r="C767" t="s">
        <v>210</v>
      </c>
      <c r="D767" t="s">
        <v>211</v>
      </c>
      <c r="E767" t="s">
        <v>1145</v>
      </c>
      <c r="F767" t="s">
        <v>953</v>
      </c>
      <c r="G767" t="s">
        <v>1170</v>
      </c>
      <c r="H767">
        <v>3088506</v>
      </c>
      <c r="I767" t="s">
        <v>214</v>
      </c>
      <c r="J767" s="14">
        <v>45614</v>
      </c>
      <c r="K767" t="s">
        <v>1147</v>
      </c>
      <c r="L767" t="e">
        <f>VLOOKUP(H767,Sheet1!H:H,1,0)</f>
        <v>#N/A</v>
      </c>
    </row>
    <row r="768" spans="1:12">
      <c r="A768" t="s">
        <v>793</v>
      </c>
      <c r="B768" t="s">
        <v>293</v>
      </c>
      <c r="C768" t="s">
        <v>210</v>
      </c>
      <c r="D768" t="s">
        <v>211</v>
      </c>
      <c r="E768" t="s">
        <v>1145</v>
      </c>
      <c r="F768" t="s">
        <v>953</v>
      </c>
      <c r="G768" t="s">
        <v>1171</v>
      </c>
      <c r="H768">
        <v>3194306</v>
      </c>
      <c r="I768" t="s">
        <v>214</v>
      </c>
      <c r="J768" s="14">
        <v>45978</v>
      </c>
      <c r="K768" t="s">
        <v>1147</v>
      </c>
      <c r="L768" t="e">
        <f>VLOOKUP(H768,Sheet1!H:H,1,0)</f>
        <v>#N/A</v>
      </c>
    </row>
    <row r="769" spans="1:12">
      <c r="A769" t="s">
        <v>793</v>
      </c>
      <c r="B769" t="s">
        <v>293</v>
      </c>
      <c r="C769" t="s">
        <v>210</v>
      </c>
      <c r="D769" t="s">
        <v>211</v>
      </c>
      <c r="E769" t="s">
        <v>1156</v>
      </c>
      <c r="F769" t="s">
        <v>1160</v>
      </c>
      <c r="G769" t="s">
        <v>1172</v>
      </c>
      <c r="H769">
        <v>3180006</v>
      </c>
      <c r="I769" t="s">
        <v>1173</v>
      </c>
      <c r="J769" s="14">
        <v>45964</v>
      </c>
      <c r="K769" t="s">
        <v>1158</v>
      </c>
      <c r="L769" t="e">
        <f>VLOOKUP(H769,Sheet1!H:H,1,0)</f>
        <v>#N/A</v>
      </c>
    </row>
    <row r="770" spans="1:12">
      <c r="A770" t="s">
        <v>793</v>
      </c>
      <c r="B770" t="s">
        <v>324</v>
      </c>
      <c r="C770" t="s">
        <v>210</v>
      </c>
      <c r="D770" t="s">
        <v>287</v>
      </c>
      <c r="E770" t="s">
        <v>864</v>
      </c>
      <c r="F770" t="s">
        <v>823</v>
      </c>
      <c r="G770" t="s">
        <v>1174</v>
      </c>
      <c r="H770">
        <v>3232406</v>
      </c>
      <c r="I770" t="s">
        <v>305</v>
      </c>
      <c r="J770" s="14">
        <v>46072</v>
      </c>
      <c r="K770" t="s">
        <v>831</v>
      </c>
      <c r="L770" t="e">
        <f>VLOOKUP(H770,Sheet1!H:H,1,0)</f>
        <v>#N/A</v>
      </c>
    </row>
    <row r="771" spans="1:12">
      <c r="A771" t="s">
        <v>793</v>
      </c>
      <c r="B771" t="s">
        <v>293</v>
      </c>
      <c r="C771" t="s">
        <v>210</v>
      </c>
      <c r="D771" t="s">
        <v>211</v>
      </c>
      <c r="E771" t="s">
        <v>1145</v>
      </c>
      <c r="F771" t="s">
        <v>953</v>
      </c>
      <c r="G771" t="s">
        <v>1175</v>
      </c>
      <c r="H771">
        <v>3194606</v>
      </c>
      <c r="I771" t="s">
        <v>214</v>
      </c>
      <c r="J771" s="14">
        <v>45978</v>
      </c>
      <c r="K771" t="s">
        <v>1147</v>
      </c>
      <c r="L771" t="e">
        <f>VLOOKUP(H771,Sheet1!H:H,1,0)</f>
        <v>#N/A</v>
      </c>
    </row>
    <row r="772" spans="1:12">
      <c r="A772" t="s">
        <v>793</v>
      </c>
      <c r="B772" t="s">
        <v>293</v>
      </c>
      <c r="C772" t="s">
        <v>210</v>
      </c>
      <c r="D772" t="s">
        <v>211</v>
      </c>
      <c r="E772" t="s">
        <v>1145</v>
      </c>
      <c r="F772" t="s">
        <v>953</v>
      </c>
      <c r="G772" t="s">
        <v>1176</v>
      </c>
      <c r="H772">
        <v>3201106</v>
      </c>
      <c r="I772" t="s">
        <v>220</v>
      </c>
      <c r="J772" s="14">
        <v>46055</v>
      </c>
      <c r="K772" t="s">
        <v>1147</v>
      </c>
      <c r="L772" t="e">
        <f>VLOOKUP(H772,Sheet1!H:H,1,0)</f>
        <v>#N/A</v>
      </c>
    </row>
    <row r="773" spans="1:12">
      <c r="A773" t="s">
        <v>793</v>
      </c>
      <c r="B773" t="s">
        <v>293</v>
      </c>
      <c r="C773" t="s">
        <v>210</v>
      </c>
      <c r="D773" t="s">
        <v>211</v>
      </c>
      <c r="E773" t="s">
        <v>1150</v>
      </c>
      <c r="F773" t="s">
        <v>1151</v>
      </c>
      <c r="G773" t="s">
        <v>1177</v>
      </c>
      <c r="H773">
        <v>3231506</v>
      </c>
      <c r="I773" t="s">
        <v>214</v>
      </c>
      <c r="J773" s="14">
        <v>46069</v>
      </c>
      <c r="K773" t="s">
        <v>1153</v>
      </c>
      <c r="L773" t="e">
        <f>VLOOKUP(H773,Sheet1!H:H,1,0)</f>
        <v>#N/A</v>
      </c>
    </row>
    <row r="774" spans="1:12">
      <c r="A774" t="s">
        <v>793</v>
      </c>
      <c r="B774" t="s">
        <v>293</v>
      </c>
      <c r="C774" t="s">
        <v>210</v>
      </c>
      <c r="D774" t="s">
        <v>211</v>
      </c>
      <c r="E774" t="s">
        <v>1156</v>
      </c>
      <c r="F774" t="s">
        <v>1160</v>
      </c>
      <c r="G774" t="s">
        <v>1178</v>
      </c>
      <c r="H774">
        <v>2999606</v>
      </c>
      <c r="I774" t="s">
        <v>214</v>
      </c>
      <c r="J774" s="14">
        <v>45384</v>
      </c>
      <c r="K774" t="s">
        <v>1158</v>
      </c>
      <c r="L774" t="e">
        <f>VLOOKUP(H774,Sheet1!H:H,1,0)</f>
        <v>#N/A</v>
      </c>
    </row>
    <row r="775" spans="1:12">
      <c r="A775" t="s">
        <v>793</v>
      </c>
      <c r="B775" t="s">
        <v>293</v>
      </c>
      <c r="C775" t="s">
        <v>210</v>
      </c>
      <c r="D775" t="s">
        <v>211</v>
      </c>
      <c r="E775" t="s">
        <v>1145</v>
      </c>
      <c r="F775" t="s">
        <v>953</v>
      </c>
      <c r="G775" t="s">
        <v>1179</v>
      </c>
      <c r="H775">
        <v>3088606</v>
      </c>
      <c r="I775" t="s">
        <v>214</v>
      </c>
      <c r="J775" s="14">
        <v>45689</v>
      </c>
      <c r="K775" t="s">
        <v>1147</v>
      </c>
      <c r="L775" t="e">
        <f>VLOOKUP(H775,Sheet1!H:H,1,0)</f>
        <v>#N/A</v>
      </c>
    </row>
    <row r="776" spans="1:12">
      <c r="A776" t="s">
        <v>793</v>
      </c>
      <c r="B776" t="s">
        <v>293</v>
      </c>
      <c r="C776" t="s">
        <v>210</v>
      </c>
      <c r="D776" t="s">
        <v>211</v>
      </c>
      <c r="E776" t="s">
        <v>1145</v>
      </c>
      <c r="F776" t="s">
        <v>953</v>
      </c>
      <c r="G776" t="s">
        <v>1180</v>
      </c>
      <c r="H776">
        <v>3158806</v>
      </c>
      <c r="I776" t="s">
        <v>214</v>
      </c>
      <c r="J776" s="14">
        <v>45931</v>
      </c>
      <c r="K776" t="s">
        <v>1147</v>
      </c>
      <c r="L776" t="e">
        <f>VLOOKUP(H776,Sheet1!H:H,1,0)</f>
        <v>#N/A</v>
      </c>
    </row>
    <row r="777" spans="1:12">
      <c r="A777" t="s">
        <v>793</v>
      </c>
      <c r="B777" t="s">
        <v>293</v>
      </c>
      <c r="C777" t="s">
        <v>210</v>
      </c>
      <c r="D777" t="s">
        <v>211</v>
      </c>
      <c r="E777" t="s">
        <v>1145</v>
      </c>
      <c r="F777" t="s">
        <v>953</v>
      </c>
      <c r="G777" t="s">
        <v>1181</v>
      </c>
      <c r="H777">
        <v>3082106</v>
      </c>
      <c r="I777" t="s">
        <v>214</v>
      </c>
      <c r="J777" s="14">
        <v>45689</v>
      </c>
      <c r="K777" t="s">
        <v>1147</v>
      </c>
      <c r="L777" t="e">
        <f>VLOOKUP(H777,Sheet1!H:H,1,0)</f>
        <v>#N/A</v>
      </c>
    </row>
    <row r="778" spans="1:12">
      <c r="A778" t="s">
        <v>793</v>
      </c>
      <c r="B778" t="s">
        <v>293</v>
      </c>
      <c r="C778" t="s">
        <v>210</v>
      </c>
      <c r="D778" t="s">
        <v>211</v>
      </c>
      <c r="E778" t="s">
        <v>1145</v>
      </c>
      <c r="F778" t="s">
        <v>953</v>
      </c>
      <c r="G778" t="s">
        <v>1182</v>
      </c>
      <c r="H778">
        <v>2886806</v>
      </c>
      <c r="I778" t="s">
        <v>214</v>
      </c>
      <c r="J778" s="14">
        <v>45243</v>
      </c>
      <c r="K778" t="s">
        <v>1147</v>
      </c>
      <c r="L778" t="e">
        <f>VLOOKUP(H778,Sheet1!H:H,1,0)</f>
        <v>#N/A</v>
      </c>
    </row>
    <row r="779" spans="1:12">
      <c r="A779" t="s">
        <v>793</v>
      </c>
      <c r="B779" t="s">
        <v>293</v>
      </c>
      <c r="C779" t="s">
        <v>210</v>
      </c>
      <c r="D779" t="s">
        <v>211</v>
      </c>
      <c r="E779" t="s">
        <v>1145</v>
      </c>
      <c r="F779" t="s">
        <v>953</v>
      </c>
      <c r="G779" t="s">
        <v>1183</v>
      </c>
      <c r="H779">
        <v>2676006</v>
      </c>
      <c r="I779" t="s">
        <v>243</v>
      </c>
      <c r="J779" s="14">
        <v>44176</v>
      </c>
      <c r="K779" t="s">
        <v>1147</v>
      </c>
      <c r="L779" t="e">
        <f>VLOOKUP(H779,Sheet1!H:H,1,0)</f>
        <v>#N/A</v>
      </c>
    </row>
    <row r="780" spans="1:12">
      <c r="A780" t="s">
        <v>793</v>
      </c>
      <c r="B780" t="s">
        <v>293</v>
      </c>
      <c r="C780" t="s">
        <v>210</v>
      </c>
      <c r="D780" t="s">
        <v>211</v>
      </c>
      <c r="E780" t="s">
        <v>1156</v>
      </c>
      <c r="F780" t="s">
        <v>1160</v>
      </c>
      <c r="G780" t="s">
        <v>1184</v>
      </c>
      <c r="H780">
        <v>3087606</v>
      </c>
      <c r="I780" t="s">
        <v>214</v>
      </c>
      <c r="J780" s="14">
        <v>45614</v>
      </c>
      <c r="K780" t="s">
        <v>1158</v>
      </c>
      <c r="L780" t="e">
        <f>VLOOKUP(H780,Sheet1!H:H,1,0)</f>
        <v>#N/A</v>
      </c>
    </row>
    <row r="781" spans="1:12">
      <c r="A781" t="s">
        <v>793</v>
      </c>
      <c r="B781" t="s">
        <v>293</v>
      </c>
      <c r="C781" t="s">
        <v>210</v>
      </c>
      <c r="D781" t="s">
        <v>211</v>
      </c>
      <c r="E781" t="s">
        <v>1156</v>
      </c>
      <c r="F781" t="s">
        <v>1160</v>
      </c>
      <c r="G781" t="s">
        <v>1158</v>
      </c>
      <c r="H781">
        <v>2492106</v>
      </c>
      <c r="I781" t="s">
        <v>225</v>
      </c>
      <c r="J781" s="14">
        <v>43236</v>
      </c>
      <c r="K781" t="s">
        <v>1158</v>
      </c>
      <c r="L781" t="e">
        <f>VLOOKUP(H781,Sheet1!H:H,1,0)</f>
        <v>#N/A</v>
      </c>
    </row>
    <row r="782" spans="1:12">
      <c r="A782" t="s">
        <v>793</v>
      </c>
      <c r="B782" t="s">
        <v>293</v>
      </c>
      <c r="C782" t="s">
        <v>210</v>
      </c>
      <c r="D782" t="s">
        <v>211</v>
      </c>
      <c r="E782" t="s">
        <v>1150</v>
      </c>
      <c r="F782" t="s">
        <v>1151</v>
      </c>
      <c r="G782" t="s">
        <v>1185</v>
      </c>
      <c r="H782">
        <v>3127206</v>
      </c>
      <c r="I782" t="s">
        <v>214</v>
      </c>
      <c r="J782" s="14">
        <v>45810</v>
      </c>
      <c r="K782" t="s">
        <v>1153</v>
      </c>
      <c r="L782" t="e">
        <f>VLOOKUP(H782,Sheet1!H:H,1,0)</f>
        <v>#N/A</v>
      </c>
    </row>
    <row r="783" spans="1:12">
      <c r="A783" t="s">
        <v>793</v>
      </c>
      <c r="B783" t="s">
        <v>293</v>
      </c>
      <c r="C783" t="s">
        <v>210</v>
      </c>
      <c r="D783" t="s">
        <v>211</v>
      </c>
      <c r="E783" t="s">
        <v>1150</v>
      </c>
      <c r="F783" t="s">
        <v>1151</v>
      </c>
      <c r="G783" t="s">
        <v>1186</v>
      </c>
      <c r="H783">
        <v>2629506</v>
      </c>
      <c r="I783" t="s">
        <v>243</v>
      </c>
      <c r="J783" s="14">
        <v>44103</v>
      </c>
      <c r="K783" t="s">
        <v>1153</v>
      </c>
      <c r="L783" t="e">
        <f>VLOOKUP(H783,Sheet1!H:H,1,0)</f>
        <v>#N/A</v>
      </c>
    </row>
    <row r="784" spans="1:12">
      <c r="A784" t="s">
        <v>793</v>
      </c>
      <c r="B784" t="s">
        <v>293</v>
      </c>
      <c r="C784" t="s">
        <v>210</v>
      </c>
      <c r="D784" t="s">
        <v>211</v>
      </c>
      <c r="E784" t="s">
        <v>1150</v>
      </c>
      <c r="F784" t="s">
        <v>1151</v>
      </c>
      <c r="G784" t="s">
        <v>1187</v>
      </c>
      <c r="H784">
        <v>3090706</v>
      </c>
      <c r="I784" t="s">
        <v>220</v>
      </c>
      <c r="J784" s="14">
        <v>45614</v>
      </c>
      <c r="K784" t="s">
        <v>1153</v>
      </c>
      <c r="L784" t="e">
        <f>VLOOKUP(H784,Sheet1!H:H,1,0)</f>
        <v>#N/A</v>
      </c>
    </row>
    <row r="785" spans="1:12">
      <c r="A785" t="s">
        <v>793</v>
      </c>
      <c r="B785" t="s">
        <v>293</v>
      </c>
      <c r="C785" t="s">
        <v>210</v>
      </c>
      <c r="D785" t="s">
        <v>211</v>
      </c>
      <c r="E785" t="s">
        <v>1156</v>
      </c>
      <c r="F785" t="s">
        <v>1160</v>
      </c>
      <c r="G785" t="s">
        <v>1188</v>
      </c>
      <c r="H785">
        <v>3221606</v>
      </c>
      <c r="I785" t="s">
        <v>214</v>
      </c>
      <c r="J785" s="14">
        <v>46038</v>
      </c>
      <c r="K785" t="s">
        <v>1158</v>
      </c>
      <c r="L785" t="e">
        <f>VLOOKUP(H785,Sheet1!H:H,1,0)</f>
        <v>#N/A</v>
      </c>
    </row>
    <row r="786" spans="1:12">
      <c r="A786" t="s">
        <v>793</v>
      </c>
      <c r="B786" t="s">
        <v>293</v>
      </c>
      <c r="C786" t="s">
        <v>210</v>
      </c>
      <c r="D786" t="s">
        <v>211</v>
      </c>
      <c r="E786" t="s">
        <v>1156</v>
      </c>
      <c r="F786" t="s">
        <v>1160</v>
      </c>
      <c r="G786" t="s">
        <v>1189</v>
      </c>
      <c r="H786">
        <v>2971306</v>
      </c>
      <c r="I786" t="s">
        <v>214</v>
      </c>
      <c r="J786" s="14">
        <v>45384</v>
      </c>
      <c r="K786" t="s">
        <v>1158</v>
      </c>
      <c r="L786" t="e">
        <f>VLOOKUP(H786,Sheet1!H:H,1,0)</f>
        <v>#N/A</v>
      </c>
    </row>
    <row r="787" spans="1:12">
      <c r="A787" t="s">
        <v>793</v>
      </c>
      <c r="B787" t="s">
        <v>293</v>
      </c>
      <c r="C787" t="s">
        <v>210</v>
      </c>
      <c r="D787" t="s">
        <v>211</v>
      </c>
      <c r="E787" t="s">
        <v>1150</v>
      </c>
      <c r="F787" t="s">
        <v>1151</v>
      </c>
      <c r="G787" t="s">
        <v>1190</v>
      </c>
      <c r="H787">
        <v>3200006</v>
      </c>
      <c r="I787" t="s">
        <v>220</v>
      </c>
      <c r="J787" s="14">
        <v>45978</v>
      </c>
      <c r="K787" t="s">
        <v>1153</v>
      </c>
      <c r="L787" t="e">
        <f>VLOOKUP(H787,Sheet1!H:H,1,0)</f>
        <v>#N/A</v>
      </c>
    </row>
    <row r="788" spans="1:12">
      <c r="A788" t="s">
        <v>793</v>
      </c>
      <c r="B788" t="s">
        <v>293</v>
      </c>
      <c r="C788" t="s">
        <v>210</v>
      </c>
      <c r="D788" t="s">
        <v>211</v>
      </c>
      <c r="E788" t="s">
        <v>1150</v>
      </c>
      <c r="F788" t="s">
        <v>1151</v>
      </c>
      <c r="G788" t="s">
        <v>1191</v>
      </c>
      <c r="H788">
        <v>3218706</v>
      </c>
      <c r="I788" t="s">
        <v>214</v>
      </c>
      <c r="J788" s="14">
        <v>46009</v>
      </c>
      <c r="K788" t="s">
        <v>1153</v>
      </c>
      <c r="L788" t="e">
        <f>VLOOKUP(H788,Sheet1!H:H,1,0)</f>
        <v>#N/A</v>
      </c>
    </row>
    <row r="789" spans="1:12">
      <c r="A789" t="s">
        <v>793</v>
      </c>
      <c r="B789" t="s">
        <v>293</v>
      </c>
      <c r="C789" t="s">
        <v>210</v>
      </c>
      <c r="D789" t="s">
        <v>211</v>
      </c>
      <c r="E789" t="s">
        <v>1150</v>
      </c>
      <c r="F789" t="s">
        <v>1151</v>
      </c>
      <c r="G789" t="s">
        <v>1192</v>
      </c>
      <c r="H789">
        <v>3081206</v>
      </c>
      <c r="I789" t="s">
        <v>220</v>
      </c>
      <c r="J789" s="14">
        <v>45831</v>
      </c>
      <c r="K789" t="s">
        <v>1153</v>
      </c>
      <c r="L789" t="e">
        <f>VLOOKUP(H789,Sheet1!H:H,1,0)</f>
        <v>#N/A</v>
      </c>
    </row>
    <row r="790" spans="1:12">
      <c r="A790" t="s">
        <v>793</v>
      </c>
      <c r="B790" t="s">
        <v>293</v>
      </c>
      <c r="C790" t="s">
        <v>210</v>
      </c>
      <c r="D790" t="s">
        <v>211</v>
      </c>
      <c r="E790" t="s">
        <v>1156</v>
      </c>
      <c r="F790" t="s">
        <v>1160</v>
      </c>
      <c r="G790" t="s">
        <v>1193</v>
      </c>
      <c r="H790">
        <v>3088306</v>
      </c>
      <c r="I790" t="s">
        <v>220</v>
      </c>
      <c r="J790" s="14">
        <v>46055</v>
      </c>
      <c r="K790" t="s">
        <v>1158</v>
      </c>
      <c r="L790" t="e">
        <f>VLOOKUP(H790,Sheet1!H:H,1,0)</f>
        <v>#N/A</v>
      </c>
    </row>
    <row r="791" spans="1:12">
      <c r="A791" t="s">
        <v>793</v>
      </c>
      <c r="B791" t="s">
        <v>293</v>
      </c>
      <c r="C791" t="s">
        <v>210</v>
      </c>
      <c r="D791" t="s">
        <v>211</v>
      </c>
      <c r="E791" t="s">
        <v>1145</v>
      </c>
      <c r="F791" t="s">
        <v>953</v>
      </c>
      <c r="G791" t="s">
        <v>1194</v>
      </c>
      <c r="H791">
        <v>3081806</v>
      </c>
      <c r="I791" t="s">
        <v>214</v>
      </c>
      <c r="J791" s="14">
        <v>45689</v>
      </c>
      <c r="K791" t="s">
        <v>1147</v>
      </c>
      <c r="L791" t="e">
        <f>VLOOKUP(H791,Sheet1!H:H,1,0)</f>
        <v>#N/A</v>
      </c>
    </row>
    <row r="792" spans="1:12">
      <c r="A792" t="s">
        <v>793</v>
      </c>
      <c r="B792" t="s">
        <v>293</v>
      </c>
      <c r="C792" t="s">
        <v>210</v>
      </c>
      <c r="D792" t="s">
        <v>211</v>
      </c>
      <c r="E792" t="s">
        <v>1156</v>
      </c>
      <c r="F792" t="s">
        <v>1160</v>
      </c>
      <c r="G792" t="s">
        <v>1195</v>
      </c>
      <c r="H792">
        <v>3221506</v>
      </c>
      <c r="I792" t="s">
        <v>214</v>
      </c>
      <c r="J792" s="14">
        <v>46038</v>
      </c>
      <c r="K792" t="s">
        <v>1158</v>
      </c>
      <c r="L792" t="e">
        <f>VLOOKUP(H792,Sheet1!H:H,1,0)</f>
        <v>#N/A</v>
      </c>
    </row>
    <row r="793" spans="1:12">
      <c r="A793" t="s">
        <v>793</v>
      </c>
      <c r="B793" t="s">
        <v>293</v>
      </c>
      <c r="C793" t="s">
        <v>210</v>
      </c>
      <c r="D793" t="s">
        <v>211</v>
      </c>
      <c r="E793" t="s">
        <v>1145</v>
      </c>
      <c r="F793" t="s">
        <v>953</v>
      </c>
      <c r="G793" t="s">
        <v>1196</v>
      </c>
      <c r="H793">
        <v>3015806</v>
      </c>
      <c r="I793" t="s">
        <v>214</v>
      </c>
      <c r="J793" s="14">
        <v>45460</v>
      </c>
      <c r="K793" t="s">
        <v>1147</v>
      </c>
      <c r="L793" t="e">
        <f>VLOOKUP(H793,Sheet1!H:H,1,0)</f>
        <v>#N/A</v>
      </c>
    </row>
    <row r="794" spans="1:12">
      <c r="A794" t="s">
        <v>793</v>
      </c>
      <c r="B794" t="s">
        <v>286</v>
      </c>
      <c r="C794" t="s">
        <v>210</v>
      </c>
      <c r="D794" t="s">
        <v>287</v>
      </c>
      <c r="E794" t="s">
        <v>877</v>
      </c>
      <c r="F794" t="s">
        <v>878</v>
      </c>
      <c r="G794" t="s">
        <v>1197</v>
      </c>
      <c r="H794">
        <v>2983406</v>
      </c>
      <c r="I794" t="s">
        <v>308</v>
      </c>
      <c r="J794" s="14">
        <v>45264</v>
      </c>
      <c r="K794" t="s">
        <v>880</v>
      </c>
      <c r="L794" t="e">
        <f>VLOOKUP(H794,Sheet1!H:H,1,0)</f>
        <v>#N/A</v>
      </c>
    </row>
    <row r="795" spans="1:12">
      <c r="A795" t="s">
        <v>793</v>
      </c>
      <c r="B795" t="s">
        <v>293</v>
      </c>
      <c r="C795" t="s">
        <v>210</v>
      </c>
      <c r="D795" t="s">
        <v>211</v>
      </c>
      <c r="E795" t="s">
        <v>1145</v>
      </c>
      <c r="F795" t="s">
        <v>953</v>
      </c>
      <c r="G795" t="s">
        <v>1198</v>
      </c>
      <c r="H795">
        <v>3221306</v>
      </c>
      <c r="I795" t="s">
        <v>220</v>
      </c>
      <c r="J795" s="14">
        <v>46038</v>
      </c>
      <c r="K795" t="s">
        <v>1147</v>
      </c>
      <c r="L795" t="e">
        <f>VLOOKUP(H795,Sheet1!H:H,1,0)</f>
        <v>#N/A</v>
      </c>
    </row>
    <row r="796" spans="1:12">
      <c r="A796" t="s">
        <v>793</v>
      </c>
      <c r="B796" t="s">
        <v>293</v>
      </c>
      <c r="C796" t="s">
        <v>210</v>
      </c>
      <c r="D796" t="s">
        <v>211</v>
      </c>
      <c r="E796" t="s">
        <v>1150</v>
      </c>
      <c r="F796" t="s">
        <v>1151</v>
      </c>
      <c r="G796" t="s">
        <v>1199</v>
      </c>
      <c r="H796">
        <v>3036306</v>
      </c>
      <c r="I796" t="s">
        <v>214</v>
      </c>
      <c r="J796" s="14">
        <v>45855</v>
      </c>
      <c r="K796" t="s">
        <v>1153</v>
      </c>
      <c r="L796" t="e">
        <f>VLOOKUP(H796,Sheet1!H:H,1,0)</f>
        <v>#N/A</v>
      </c>
    </row>
    <row r="797" spans="1:12">
      <c r="A797" t="s">
        <v>793</v>
      </c>
      <c r="B797" t="s">
        <v>293</v>
      </c>
      <c r="C797" t="s">
        <v>210</v>
      </c>
      <c r="D797" t="s">
        <v>211</v>
      </c>
      <c r="E797" t="s">
        <v>1156</v>
      </c>
      <c r="F797" t="s">
        <v>953</v>
      </c>
      <c r="G797" t="s">
        <v>1200</v>
      </c>
      <c r="H797">
        <v>2814806</v>
      </c>
      <c r="I797" t="s">
        <v>243</v>
      </c>
      <c r="J797" s="14">
        <v>44713</v>
      </c>
      <c r="K797" t="s">
        <v>1158</v>
      </c>
      <c r="L797" t="e">
        <f>VLOOKUP(H797,Sheet1!H:H,1,0)</f>
        <v>#N/A</v>
      </c>
    </row>
    <row r="798" spans="1:12">
      <c r="A798" t="s">
        <v>793</v>
      </c>
      <c r="B798" t="s">
        <v>293</v>
      </c>
      <c r="C798" t="s">
        <v>210</v>
      </c>
      <c r="D798" t="s">
        <v>211</v>
      </c>
      <c r="E798" t="s">
        <v>1156</v>
      </c>
      <c r="F798" t="s">
        <v>953</v>
      </c>
      <c r="G798" t="s">
        <v>1201</v>
      </c>
      <c r="H798">
        <v>2954406</v>
      </c>
      <c r="I798" t="s">
        <v>220</v>
      </c>
      <c r="J798" s="14">
        <v>45232</v>
      </c>
      <c r="K798" t="s">
        <v>1158</v>
      </c>
      <c r="L798" t="e">
        <f>VLOOKUP(H798,Sheet1!H:H,1,0)</f>
        <v>#N/A</v>
      </c>
    </row>
    <row r="799" spans="1:12">
      <c r="A799" t="s">
        <v>793</v>
      </c>
      <c r="B799" t="s">
        <v>293</v>
      </c>
      <c r="C799" t="s">
        <v>210</v>
      </c>
      <c r="D799" t="s">
        <v>211</v>
      </c>
      <c r="E799" t="s">
        <v>1145</v>
      </c>
      <c r="F799" t="s">
        <v>953</v>
      </c>
      <c r="G799" t="s">
        <v>1202</v>
      </c>
      <c r="H799">
        <v>3081906</v>
      </c>
      <c r="I799" t="s">
        <v>214</v>
      </c>
      <c r="J799" s="14">
        <v>45614</v>
      </c>
      <c r="K799" t="s">
        <v>1147</v>
      </c>
      <c r="L799" t="e">
        <f>VLOOKUP(H799,Sheet1!H:H,1,0)</f>
        <v>#N/A</v>
      </c>
    </row>
    <row r="800" spans="1:12">
      <c r="A800" t="s">
        <v>793</v>
      </c>
      <c r="B800" t="s">
        <v>293</v>
      </c>
      <c r="C800" t="s">
        <v>210</v>
      </c>
      <c r="D800" t="s">
        <v>211</v>
      </c>
      <c r="E800" t="s">
        <v>1145</v>
      </c>
      <c r="F800" t="s">
        <v>953</v>
      </c>
      <c r="G800" t="s">
        <v>1203</v>
      </c>
      <c r="H800">
        <v>3234106</v>
      </c>
      <c r="I800" t="s">
        <v>220</v>
      </c>
      <c r="J800" s="14">
        <v>46083</v>
      </c>
      <c r="K800" t="s">
        <v>1147</v>
      </c>
      <c r="L800" t="e">
        <f>VLOOKUP(H800,Sheet1!H:H,1,0)</f>
        <v>#N/A</v>
      </c>
    </row>
    <row r="801" spans="1:12">
      <c r="A801" t="s">
        <v>793</v>
      </c>
      <c r="B801" t="s">
        <v>293</v>
      </c>
      <c r="C801" t="s">
        <v>210</v>
      </c>
      <c r="D801" t="s">
        <v>1133</v>
      </c>
      <c r="E801" t="s">
        <v>1156</v>
      </c>
      <c r="F801" t="s">
        <v>1160</v>
      </c>
      <c r="G801" t="s">
        <v>1204</v>
      </c>
      <c r="H801">
        <v>3232106</v>
      </c>
      <c r="I801" t="s">
        <v>214</v>
      </c>
      <c r="J801" s="14">
        <v>46069</v>
      </c>
      <c r="K801" t="s">
        <v>1158</v>
      </c>
      <c r="L801" t="e">
        <f>VLOOKUP(H801,Sheet1!H:H,1,0)</f>
        <v>#N/A</v>
      </c>
    </row>
    <row r="802" spans="1:12">
      <c r="A802" t="s">
        <v>793</v>
      </c>
      <c r="B802" t="s">
        <v>293</v>
      </c>
      <c r="C802" t="s">
        <v>210</v>
      </c>
      <c r="D802" t="s">
        <v>211</v>
      </c>
      <c r="E802" t="s">
        <v>1150</v>
      </c>
      <c r="F802" t="s">
        <v>1151</v>
      </c>
      <c r="G802" t="s">
        <v>1205</v>
      </c>
      <c r="H802">
        <v>3121606</v>
      </c>
      <c r="I802" t="s">
        <v>214</v>
      </c>
      <c r="J802" s="14">
        <v>45768</v>
      </c>
      <c r="K802" t="s">
        <v>1153</v>
      </c>
      <c r="L802" t="e">
        <f>VLOOKUP(H802,Sheet1!H:H,1,0)</f>
        <v>#N/A</v>
      </c>
    </row>
    <row r="803" spans="1:12">
      <c r="A803" t="s">
        <v>793</v>
      </c>
      <c r="B803" t="s">
        <v>293</v>
      </c>
      <c r="C803" t="s">
        <v>210</v>
      </c>
      <c r="D803" t="s">
        <v>211</v>
      </c>
      <c r="E803" t="s">
        <v>1145</v>
      </c>
      <c r="F803" t="s">
        <v>953</v>
      </c>
      <c r="G803" t="s">
        <v>1206</v>
      </c>
      <c r="H803">
        <v>3194806</v>
      </c>
      <c r="I803" t="s">
        <v>214</v>
      </c>
      <c r="J803" s="14">
        <v>45978</v>
      </c>
      <c r="K803" t="s">
        <v>1147</v>
      </c>
      <c r="L803" t="e">
        <f>VLOOKUP(H803,Sheet1!H:H,1,0)</f>
        <v>#N/A</v>
      </c>
    </row>
    <row r="804" spans="1:12">
      <c r="A804" t="s">
        <v>793</v>
      </c>
      <c r="B804" t="s">
        <v>293</v>
      </c>
      <c r="C804" t="s">
        <v>210</v>
      </c>
      <c r="D804" t="s">
        <v>211</v>
      </c>
      <c r="E804" t="s">
        <v>1145</v>
      </c>
      <c r="F804" t="s">
        <v>953</v>
      </c>
      <c r="G804" t="s">
        <v>1207</v>
      </c>
      <c r="H804">
        <v>3138206</v>
      </c>
      <c r="I804" t="s">
        <v>220</v>
      </c>
      <c r="J804" s="14">
        <v>45861</v>
      </c>
      <c r="K804" t="s">
        <v>1147</v>
      </c>
      <c r="L804" t="e">
        <f>VLOOKUP(H804,Sheet1!H:H,1,0)</f>
        <v>#N/A</v>
      </c>
    </row>
    <row r="805" spans="1:12">
      <c r="A805" t="s">
        <v>793</v>
      </c>
      <c r="B805" t="s">
        <v>293</v>
      </c>
      <c r="C805" t="s">
        <v>210</v>
      </c>
      <c r="D805" t="s">
        <v>211</v>
      </c>
      <c r="E805" t="s">
        <v>1150</v>
      </c>
      <c r="F805" t="s">
        <v>1151</v>
      </c>
      <c r="G805" t="s">
        <v>1208</v>
      </c>
      <c r="H805">
        <v>2887206</v>
      </c>
      <c r="I805" t="s">
        <v>214</v>
      </c>
      <c r="J805" s="14">
        <v>45358</v>
      </c>
      <c r="K805" t="s">
        <v>1153</v>
      </c>
      <c r="L805" t="e">
        <f>VLOOKUP(H805,Sheet1!H:H,1,0)</f>
        <v>#N/A</v>
      </c>
    </row>
    <row r="806" spans="1:12">
      <c r="A806" t="s">
        <v>1209</v>
      </c>
      <c r="B806" t="s">
        <v>209</v>
      </c>
      <c r="C806" t="s">
        <v>210</v>
      </c>
      <c r="D806" t="s">
        <v>211</v>
      </c>
      <c r="E806" t="s">
        <v>1210</v>
      </c>
      <c r="F806" t="s">
        <v>9</v>
      </c>
      <c r="G806" t="s">
        <v>1211</v>
      </c>
      <c r="H806">
        <v>1316604</v>
      </c>
      <c r="I806" t="s">
        <v>214</v>
      </c>
      <c r="J806" s="14">
        <v>45589</v>
      </c>
      <c r="K806" t="s">
        <v>1212</v>
      </c>
      <c r="L806" t="e">
        <f>VLOOKUP(H806,Sheet1!H:H,1,0)</f>
        <v>#N/A</v>
      </c>
    </row>
    <row r="807" spans="1:12">
      <c r="A807" t="s">
        <v>1209</v>
      </c>
      <c r="B807" t="s">
        <v>209</v>
      </c>
      <c r="C807" t="s">
        <v>210</v>
      </c>
      <c r="D807" t="s">
        <v>211</v>
      </c>
      <c r="E807" t="s">
        <v>1210</v>
      </c>
      <c r="F807" t="s">
        <v>9</v>
      </c>
      <c r="G807" t="s">
        <v>1213</v>
      </c>
      <c r="H807">
        <v>1291104</v>
      </c>
      <c r="I807" t="s">
        <v>214</v>
      </c>
      <c r="J807" s="14">
        <v>45422</v>
      </c>
      <c r="K807" t="s">
        <v>1212</v>
      </c>
      <c r="L807" t="e">
        <f>VLOOKUP(H807,Sheet1!H:H,1,0)</f>
        <v>#N/A</v>
      </c>
    </row>
    <row r="808" spans="1:12">
      <c r="A808" t="s">
        <v>1209</v>
      </c>
      <c r="B808" t="s">
        <v>209</v>
      </c>
      <c r="C808" t="s">
        <v>210</v>
      </c>
      <c r="D808" t="s">
        <v>211</v>
      </c>
      <c r="E808" t="s">
        <v>1210</v>
      </c>
      <c r="F808" t="s">
        <v>9</v>
      </c>
      <c r="G808" t="s">
        <v>1214</v>
      </c>
      <c r="H808">
        <v>1356504</v>
      </c>
      <c r="I808" t="s">
        <v>214</v>
      </c>
      <c r="J808" s="14">
        <v>45999</v>
      </c>
      <c r="K808" t="s">
        <v>1212</v>
      </c>
      <c r="L808" t="e">
        <f>VLOOKUP(H808,Sheet1!H:H,1,0)</f>
        <v>#N/A</v>
      </c>
    </row>
    <row r="809" spans="1:12">
      <c r="A809" t="s">
        <v>1209</v>
      </c>
      <c r="B809" t="s">
        <v>209</v>
      </c>
      <c r="C809" t="s">
        <v>210</v>
      </c>
      <c r="D809" t="s">
        <v>211</v>
      </c>
      <c r="E809" t="s">
        <v>1210</v>
      </c>
      <c r="F809" t="s">
        <v>9</v>
      </c>
      <c r="G809" t="s">
        <v>1215</v>
      </c>
      <c r="H809">
        <v>1290404</v>
      </c>
      <c r="I809" t="s">
        <v>243</v>
      </c>
      <c r="J809" s="14">
        <v>45231</v>
      </c>
      <c r="K809" t="s">
        <v>1212</v>
      </c>
      <c r="L809" t="e">
        <f>VLOOKUP(H809,Sheet1!H:H,1,0)</f>
        <v>#N/A</v>
      </c>
    </row>
    <row r="810" spans="1:12">
      <c r="A810" t="s">
        <v>1209</v>
      </c>
      <c r="B810" t="s">
        <v>209</v>
      </c>
      <c r="C810" t="s">
        <v>210</v>
      </c>
      <c r="D810" t="s">
        <v>211</v>
      </c>
      <c r="E810" t="s">
        <v>1216</v>
      </c>
      <c r="F810" t="s">
        <v>9</v>
      </c>
      <c r="G810" t="s">
        <v>1212</v>
      </c>
      <c r="H810">
        <v>1201304</v>
      </c>
      <c r="I810" t="s">
        <v>225</v>
      </c>
      <c r="J810" s="14">
        <v>43693</v>
      </c>
      <c r="K810" t="s">
        <v>1217</v>
      </c>
      <c r="L810" t="e">
        <f>VLOOKUP(H810,Sheet1!H:H,1,0)</f>
        <v>#N/A</v>
      </c>
    </row>
    <row r="811" spans="1:12">
      <c r="A811" t="s">
        <v>1209</v>
      </c>
      <c r="B811" t="s">
        <v>209</v>
      </c>
      <c r="C811" t="s">
        <v>210</v>
      </c>
      <c r="D811" t="s">
        <v>211</v>
      </c>
      <c r="E811" t="s">
        <v>1210</v>
      </c>
      <c r="F811" t="s">
        <v>9</v>
      </c>
      <c r="G811" t="s">
        <v>1218</v>
      </c>
      <c r="H811">
        <v>1357004</v>
      </c>
      <c r="I811" t="s">
        <v>214</v>
      </c>
      <c r="J811" s="14">
        <v>45999</v>
      </c>
      <c r="K811" t="s">
        <v>1212</v>
      </c>
      <c r="L811" t="e">
        <f>VLOOKUP(H811,Sheet1!H:H,1,0)</f>
        <v>#N/A</v>
      </c>
    </row>
    <row r="812" spans="1:12">
      <c r="A812" t="s">
        <v>1209</v>
      </c>
      <c r="B812" t="s">
        <v>209</v>
      </c>
      <c r="C812" t="s">
        <v>210</v>
      </c>
      <c r="D812" t="s">
        <v>211</v>
      </c>
      <c r="E812" t="s">
        <v>1210</v>
      </c>
      <c r="F812" t="s">
        <v>9</v>
      </c>
      <c r="G812" t="s">
        <v>1219</v>
      </c>
      <c r="H812">
        <v>1359304</v>
      </c>
      <c r="I812" t="s">
        <v>220</v>
      </c>
      <c r="J812" s="14">
        <v>46090</v>
      </c>
      <c r="K812" t="s">
        <v>1212</v>
      </c>
      <c r="L812" t="e">
        <f>VLOOKUP(H812,Sheet1!H:H,1,0)</f>
        <v>#N/A</v>
      </c>
    </row>
    <row r="813" spans="1:12">
      <c r="A813" t="s">
        <v>1209</v>
      </c>
      <c r="B813" t="s">
        <v>209</v>
      </c>
      <c r="C813" t="s">
        <v>210</v>
      </c>
      <c r="D813" t="s">
        <v>211</v>
      </c>
      <c r="E813" t="s">
        <v>1210</v>
      </c>
      <c r="F813" t="s">
        <v>9</v>
      </c>
      <c r="G813" t="s">
        <v>1220</v>
      </c>
      <c r="H813">
        <v>1321704</v>
      </c>
      <c r="I813" t="s">
        <v>214</v>
      </c>
      <c r="J813" s="14">
        <v>45614</v>
      </c>
      <c r="K813" t="s">
        <v>1212</v>
      </c>
      <c r="L813" t="e">
        <f>VLOOKUP(H813,Sheet1!H:H,1,0)</f>
        <v>#N/A</v>
      </c>
    </row>
    <row r="814" spans="1:12">
      <c r="A814" t="s">
        <v>1209</v>
      </c>
      <c r="B814" t="s">
        <v>209</v>
      </c>
      <c r="C814" t="s">
        <v>210</v>
      </c>
      <c r="D814" t="s">
        <v>211</v>
      </c>
      <c r="E814" t="s">
        <v>1210</v>
      </c>
      <c r="F814" t="s">
        <v>9</v>
      </c>
      <c r="G814" t="s">
        <v>1221</v>
      </c>
      <c r="H814">
        <v>1316504</v>
      </c>
      <c r="I814" t="s">
        <v>214</v>
      </c>
      <c r="J814" s="14">
        <v>45589</v>
      </c>
      <c r="K814" t="s">
        <v>1212</v>
      </c>
      <c r="L814" t="e">
        <f>VLOOKUP(H814,Sheet1!H:H,1,0)</f>
        <v>#N/A</v>
      </c>
    </row>
    <row r="815" spans="1:12">
      <c r="A815" t="s">
        <v>1209</v>
      </c>
      <c r="B815" t="s">
        <v>209</v>
      </c>
      <c r="C815" t="s">
        <v>210</v>
      </c>
      <c r="D815" t="s">
        <v>211</v>
      </c>
      <c r="E815" t="s">
        <v>1210</v>
      </c>
      <c r="F815" t="s">
        <v>9</v>
      </c>
      <c r="G815" t="s">
        <v>1222</v>
      </c>
      <c r="H815">
        <v>1326004</v>
      </c>
      <c r="I815" t="s">
        <v>220</v>
      </c>
      <c r="J815" s="14">
        <v>46069</v>
      </c>
      <c r="K815" t="s">
        <v>1212</v>
      </c>
      <c r="L815" t="e">
        <f>VLOOKUP(H815,Sheet1!H:H,1,0)</f>
        <v>#N/A</v>
      </c>
    </row>
    <row r="816" spans="1:12">
      <c r="A816" t="s">
        <v>1209</v>
      </c>
      <c r="B816" t="s">
        <v>209</v>
      </c>
      <c r="C816" t="s">
        <v>210</v>
      </c>
      <c r="D816" t="s">
        <v>211</v>
      </c>
      <c r="E816" t="s">
        <v>1210</v>
      </c>
      <c r="F816" t="s">
        <v>9</v>
      </c>
      <c r="G816" t="s">
        <v>1223</v>
      </c>
      <c r="H816">
        <v>1194904</v>
      </c>
      <c r="I816" t="s">
        <v>222</v>
      </c>
      <c r="J816" s="14">
        <v>43622</v>
      </c>
      <c r="K816" t="s">
        <v>1212</v>
      </c>
      <c r="L816" t="e">
        <f>VLOOKUP(H816,Sheet1!H:H,1,0)</f>
        <v>#N/A</v>
      </c>
    </row>
    <row r="817" spans="1:12">
      <c r="A817" t="s">
        <v>1209</v>
      </c>
      <c r="B817" t="s">
        <v>209</v>
      </c>
      <c r="C817" t="s">
        <v>210</v>
      </c>
      <c r="D817" t="s">
        <v>287</v>
      </c>
      <c r="E817" t="s">
        <v>830</v>
      </c>
      <c r="F817" t="s">
        <v>9</v>
      </c>
      <c r="G817" t="s">
        <v>1224</v>
      </c>
      <c r="H817">
        <v>1281604</v>
      </c>
      <c r="I817" t="s">
        <v>308</v>
      </c>
      <c r="J817" s="14">
        <v>45108</v>
      </c>
      <c r="K817" t="s">
        <v>1217</v>
      </c>
      <c r="L817" t="e">
        <f>VLOOKUP(H817,Sheet1!H:H,1,0)</f>
        <v>#N/A</v>
      </c>
    </row>
    <row r="818" spans="1:12">
      <c r="A818" t="s">
        <v>1209</v>
      </c>
      <c r="B818" t="s">
        <v>209</v>
      </c>
      <c r="C818" t="s">
        <v>210</v>
      </c>
      <c r="D818" t="s">
        <v>211</v>
      </c>
      <c r="E818" t="s">
        <v>1225</v>
      </c>
      <c r="F818" t="s">
        <v>10</v>
      </c>
      <c r="G818" t="s">
        <v>1226</v>
      </c>
      <c r="H818">
        <v>1348104</v>
      </c>
      <c r="I818" t="s">
        <v>214</v>
      </c>
      <c r="J818" s="14">
        <v>45964</v>
      </c>
      <c r="K818" t="s">
        <v>1227</v>
      </c>
      <c r="L818" t="e">
        <f>VLOOKUP(H818,Sheet1!H:H,1,0)</f>
        <v>#N/A</v>
      </c>
    </row>
    <row r="819" spans="1:12">
      <c r="A819" t="s">
        <v>1209</v>
      </c>
      <c r="B819" t="s">
        <v>209</v>
      </c>
      <c r="C819" t="s">
        <v>210</v>
      </c>
      <c r="D819" t="s">
        <v>211</v>
      </c>
      <c r="E819" t="s">
        <v>1225</v>
      </c>
      <c r="F819" t="s">
        <v>10</v>
      </c>
      <c r="G819" t="s">
        <v>1228</v>
      </c>
      <c r="H819">
        <v>1244704</v>
      </c>
      <c r="I819" t="s">
        <v>1173</v>
      </c>
      <c r="J819" s="14">
        <v>46007</v>
      </c>
      <c r="K819" t="s">
        <v>1227</v>
      </c>
      <c r="L819" t="e">
        <f>VLOOKUP(H819,Sheet1!H:H,1,0)</f>
        <v>#N/A</v>
      </c>
    </row>
    <row r="820" spans="1:12">
      <c r="A820" t="s">
        <v>1209</v>
      </c>
      <c r="B820" t="s">
        <v>209</v>
      </c>
      <c r="C820" t="s">
        <v>210</v>
      </c>
      <c r="D820" t="s">
        <v>287</v>
      </c>
      <c r="E820" t="s">
        <v>830</v>
      </c>
      <c r="F820" t="s">
        <v>10</v>
      </c>
      <c r="G820" t="s">
        <v>1229</v>
      </c>
      <c r="H820">
        <v>1359104</v>
      </c>
      <c r="I820" t="s">
        <v>628</v>
      </c>
      <c r="J820" s="14">
        <v>46083</v>
      </c>
      <c r="K820" t="s">
        <v>1217</v>
      </c>
      <c r="L820" t="e">
        <f>VLOOKUP(H820,Sheet1!H:H,1,0)</f>
        <v>#N/A</v>
      </c>
    </row>
    <row r="821" spans="1:12">
      <c r="A821" t="s">
        <v>1209</v>
      </c>
      <c r="B821" t="s">
        <v>209</v>
      </c>
      <c r="C821" t="s">
        <v>210</v>
      </c>
      <c r="D821" t="s">
        <v>211</v>
      </c>
      <c r="E821" t="s">
        <v>1216</v>
      </c>
      <c r="F821" t="s">
        <v>10</v>
      </c>
      <c r="G821" t="s">
        <v>1227</v>
      </c>
      <c r="H821">
        <v>1165904</v>
      </c>
      <c r="I821" t="s">
        <v>225</v>
      </c>
      <c r="J821" s="14">
        <v>43222</v>
      </c>
      <c r="K821" t="s">
        <v>1217</v>
      </c>
      <c r="L821" t="e">
        <f>VLOOKUP(H821,Sheet1!H:H,1,0)</f>
        <v>#N/A</v>
      </c>
    </row>
    <row r="822" spans="1:12">
      <c r="A822" t="s">
        <v>1209</v>
      </c>
      <c r="B822" t="s">
        <v>209</v>
      </c>
      <c r="C822" t="s">
        <v>210</v>
      </c>
      <c r="D822" t="s">
        <v>287</v>
      </c>
      <c r="E822" t="s">
        <v>830</v>
      </c>
      <c r="F822" t="s">
        <v>10</v>
      </c>
      <c r="G822" t="s">
        <v>1230</v>
      </c>
      <c r="H822">
        <v>1359204</v>
      </c>
      <c r="I822" t="s">
        <v>301</v>
      </c>
      <c r="J822" s="14">
        <v>46083</v>
      </c>
      <c r="K822" t="s">
        <v>1217</v>
      </c>
      <c r="L822" t="e">
        <f>VLOOKUP(H822,Sheet1!H:H,1,0)</f>
        <v>#N/A</v>
      </c>
    </row>
    <row r="823" spans="1:12">
      <c r="A823" t="s">
        <v>1209</v>
      </c>
      <c r="B823" t="s">
        <v>209</v>
      </c>
      <c r="C823" t="s">
        <v>210</v>
      </c>
      <c r="D823" t="s">
        <v>211</v>
      </c>
      <c r="E823" t="s">
        <v>1225</v>
      </c>
      <c r="F823" t="s">
        <v>10</v>
      </c>
      <c r="G823" t="s">
        <v>1231</v>
      </c>
      <c r="H823">
        <v>1338104</v>
      </c>
      <c r="I823" t="s">
        <v>214</v>
      </c>
      <c r="J823" s="14">
        <v>45877</v>
      </c>
      <c r="K823" t="s">
        <v>1227</v>
      </c>
      <c r="L823" t="e">
        <f>VLOOKUP(H823,Sheet1!H:H,1,0)</f>
        <v>#N/A</v>
      </c>
    </row>
    <row r="824" spans="1:12">
      <c r="A824" t="s">
        <v>1209</v>
      </c>
      <c r="B824" t="s">
        <v>209</v>
      </c>
      <c r="C824" t="s">
        <v>210</v>
      </c>
      <c r="D824" t="s">
        <v>211</v>
      </c>
      <c r="E824" t="s">
        <v>1225</v>
      </c>
      <c r="F824" t="s">
        <v>10</v>
      </c>
      <c r="G824" t="s">
        <v>1232</v>
      </c>
      <c r="H824">
        <v>1323204</v>
      </c>
      <c r="I824" t="s">
        <v>214</v>
      </c>
      <c r="J824" s="14">
        <v>45614</v>
      </c>
      <c r="K824" t="s">
        <v>1227</v>
      </c>
      <c r="L824" t="e">
        <f>VLOOKUP(H824,Sheet1!H:H,1,0)</f>
        <v>#N/A</v>
      </c>
    </row>
    <row r="825" spans="1:12">
      <c r="A825" t="s">
        <v>1209</v>
      </c>
      <c r="B825" t="s">
        <v>209</v>
      </c>
      <c r="C825" t="s">
        <v>210</v>
      </c>
      <c r="D825" t="s">
        <v>287</v>
      </c>
      <c r="E825" t="s">
        <v>830</v>
      </c>
      <c r="F825" t="s">
        <v>10</v>
      </c>
      <c r="G825" t="s">
        <v>1233</v>
      </c>
      <c r="H825">
        <v>1192504</v>
      </c>
      <c r="I825" t="s">
        <v>869</v>
      </c>
      <c r="J825" s="14">
        <v>43542</v>
      </c>
      <c r="K825" t="s">
        <v>1217</v>
      </c>
      <c r="L825" t="e">
        <f>VLOOKUP(H825,Sheet1!H:H,1,0)</f>
        <v>#N/A</v>
      </c>
    </row>
    <row r="826" spans="1:12">
      <c r="A826" t="s">
        <v>1209</v>
      </c>
      <c r="B826" t="s">
        <v>209</v>
      </c>
      <c r="C826" t="s">
        <v>210</v>
      </c>
      <c r="D826" t="s">
        <v>287</v>
      </c>
      <c r="E826" t="s">
        <v>830</v>
      </c>
      <c r="F826" t="s">
        <v>10</v>
      </c>
      <c r="G826" t="s">
        <v>1234</v>
      </c>
      <c r="H826">
        <v>1273804</v>
      </c>
      <c r="I826" t="s">
        <v>475</v>
      </c>
      <c r="J826" s="14">
        <v>45019</v>
      </c>
      <c r="K826" t="s">
        <v>1217</v>
      </c>
      <c r="L826" t="e">
        <f>VLOOKUP(H826,Sheet1!H:H,1,0)</f>
        <v>#N/A</v>
      </c>
    </row>
    <row r="827" spans="1:12">
      <c r="A827" t="s">
        <v>1209</v>
      </c>
      <c r="B827" t="s">
        <v>209</v>
      </c>
      <c r="C827" t="s">
        <v>210</v>
      </c>
      <c r="D827" t="s">
        <v>211</v>
      </c>
      <c r="E827" t="s">
        <v>1225</v>
      </c>
      <c r="F827" t="s">
        <v>10</v>
      </c>
      <c r="G827" t="s">
        <v>1235</v>
      </c>
      <c r="H827">
        <v>1279404</v>
      </c>
      <c r="I827" t="s">
        <v>243</v>
      </c>
      <c r="J827" s="14">
        <v>45093</v>
      </c>
      <c r="K827" t="s">
        <v>1227</v>
      </c>
      <c r="L827" t="e">
        <f>VLOOKUP(H827,Sheet1!H:H,1,0)</f>
        <v>#N/A</v>
      </c>
    </row>
    <row r="828" spans="1:12">
      <c r="A828" t="s">
        <v>1209</v>
      </c>
      <c r="B828" t="s">
        <v>209</v>
      </c>
      <c r="C828" t="s">
        <v>210</v>
      </c>
      <c r="D828" t="s">
        <v>211</v>
      </c>
      <c r="E828" t="s">
        <v>1225</v>
      </c>
      <c r="F828" t="s">
        <v>10</v>
      </c>
      <c r="G828" t="s">
        <v>1236</v>
      </c>
      <c r="H828">
        <v>1348504</v>
      </c>
      <c r="I828" t="s">
        <v>220</v>
      </c>
      <c r="J828" s="14">
        <v>45964</v>
      </c>
      <c r="K828" t="s">
        <v>1227</v>
      </c>
      <c r="L828" t="e">
        <f>VLOOKUP(H828,Sheet1!H:H,1,0)</f>
        <v>#N/A</v>
      </c>
    </row>
    <row r="829" spans="1:12">
      <c r="A829" t="s">
        <v>1209</v>
      </c>
      <c r="B829" t="s">
        <v>209</v>
      </c>
      <c r="C829" t="s">
        <v>210</v>
      </c>
      <c r="D829" t="s">
        <v>211</v>
      </c>
      <c r="E829" t="s">
        <v>1225</v>
      </c>
      <c r="F829" t="s">
        <v>10</v>
      </c>
      <c r="G829" t="s">
        <v>1237</v>
      </c>
      <c r="H829">
        <v>1322904</v>
      </c>
      <c r="I829" t="s">
        <v>214</v>
      </c>
      <c r="J829" s="14">
        <v>45794</v>
      </c>
      <c r="K829" t="s">
        <v>1227</v>
      </c>
      <c r="L829" t="e">
        <f>VLOOKUP(H829,Sheet1!H:H,1,0)</f>
        <v>#N/A</v>
      </c>
    </row>
    <row r="830" spans="1:12">
      <c r="A830" t="s">
        <v>1209</v>
      </c>
      <c r="B830" t="s">
        <v>209</v>
      </c>
      <c r="C830" t="s">
        <v>210</v>
      </c>
      <c r="D830" t="s">
        <v>211</v>
      </c>
      <c r="E830" t="s">
        <v>1225</v>
      </c>
      <c r="F830" t="s">
        <v>10</v>
      </c>
      <c r="G830" t="s">
        <v>1238</v>
      </c>
      <c r="H830">
        <v>1337104</v>
      </c>
      <c r="I830" t="s">
        <v>214</v>
      </c>
      <c r="J830" s="14">
        <v>45831</v>
      </c>
      <c r="K830" t="s">
        <v>1227</v>
      </c>
      <c r="L830" t="e">
        <f>VLOOKUP(H830,Sheet1!H:H,1,0)</f>
        <v>#N/A</v>
      </c>
    </row>
    <row r="831" spans="1:12">
      <c r="A831" t="s">
        <v>1209</v>
      </c>
      <c r="B831" t="s">
        <v>209</v>
      </c>
      <c r="C831" t="s">
        <v>210</v>
      </c>
      <c r="D831" t="s">
        <v>211</v>
      </c>
      <c r="E831" t="s">
        <v>1225</v>
      </c>
      <c r="F831" t="s">
        <v>10</v>
      </c>
      <c r="G831" t="s">
        <v>1239</v>
      </c>
      <c r="H831">
        <v>1348404</v>
      </c>
      <c r="I831" t="s">
        <v>214</v>
      </c>
      <c r="J831" s="14">
        <v>45964</v>
      </c>
      <c r="K831" t="s">
        <v>1227</v>
      </c>
      <c r="L831" t="e">
        <f>VLOOKUP(H831,Sheet1!H:H,1,0)</f>
        <v>#N/A</v>
      </c>
    </row>
    <row r="832" spans="1:12">
      <c r="A832" t="s">
        <v>1209</v>
      </c>
      <c r="B832" t="s">
        <v>209</v>
      </c>
      <c r="C832" t="s">
        <v>210</v>
      </c>
      <c r="D832" t="s">
        <v>211</v>
      </c>
      <c r="E832" t="s">
        <v>1225</v>
      </c>
      <c r="F832" t="s">
        <v>10</v>
      </c>
      <c r="G832" t="s">
        <v>1240</v>
      </c>
      <c r="H832">
        <v>1336904</v>
      </c>
      <c r="I832" t="s">
        <v>220</v>
      </c>
      <c r="J832" s="14">
        <v>45831</v>
      </c>
      <c r="K832" t="s">
        <v>1227</v>
      </c>
      <c r="L832" t="e">
        <f>VLOOKUP(H832,Sheet1!H:H,1,0)</f>
        <v>#N/A</v>
      </c>
    </row>
    <row r="833" spans="1:12">
      <c r="A833" t="s">
        <v>1209</v>
      </c>
      <c r="B833" t="s">
        <v>209</v>
      </c>
      <c r="C833" t="s">
        <v>210</v>
      </c>
      <c r="D833" t="s">
        <v>211</v>
      </c>
      <c r="E833" t="s">
        <v>1225</v>
      </c>
      <c r="F833" t="s">
        <v>10</v>
      </c>
      <c r="G833" t="s">
        <v>1241</v>
      </c>
      <c r="H833">
        <v>1284904</v>
      </c>
      <c r="I833" t="s">
        <v>214</v>
      </c>
      <c r="J833" s="14">
        <v>45208</v>
      </c>
      <c r="K833" t="s">
        <v>1227</v>
      </c>
      <c r="L833" t="e">
        <f>VLOOKUP(H833,Sheet1!H:H,1,0)</f>
        <v>#N/A</v>
      </c>
    </row>
    <row r="834" spans="1:12">
      <c r="A834" t="s">
        <v>1209</v>
      </c>
      <c r="B834" t="s">
        <v>209</v>
      </c>
      <c r="C834" t="s">
        <v>210</v>
      </c>
      <c r="D834" t="s">
        <v>211</v>
      </c>
      <c r="E834" t="s">
        <v>1225</v>
      </c>
      <c r="F834" t="s">
        <v>10</v>
      </c>
      <c r="G834" t="s">
        <v>1242</v>
      </c>
      <c r="H834">
        <v>1336304</v>
      </c>
      <c r="I834" t="s">
        <v>214</v>
      </c>
      <c r="J834" s="14">
        <v>45831</v>
      </c>
      <c r="K834" t="s">
        <v>1227</v>
      </c>
      <c r="L834" t="e">
        <f>VLOOKUP(H834,Sheet1!H:H,1,0)</f>
        <v>#N/A</v>
      </c>
    </row>
    <row r="835" spans="1:12">
      <c r="A835" t="s">
        <v>1209</v>
      </c>
      <c r="B835" t="s">
        <v>274</v>
      </c>
      <c r="C835" t="s">
        <v>210</v>
      </c>
      <c r="D835" t="s">
        <v>211</v>
      </c>
      <c r="E835" t="s">
        <v>1243</v>
      </c>
      <c r="F835" t="s">
        <v>65</v>
      </c>
      <c r="G835" t="s">
        <v>1244</v>
      </c>
      <c r="H835">
        <v>1314904</v>
      </c>
      <c r="I835" t="s">
        <v>214</v>
      </c>
      <c r="J835" s="14">
        <v>45555</v>
      </c>
      <c r="K835" t="s">
        <v>1245</v>
      </c>
      <c r="L835" t="e">
        <f>VLOOKUP(H835,Sheet1!H:H,1,0)</f>
        <v>#N/A</v>
      </c>
    </row>
    <row r="836" spans="1:12">
      <c r="A836" t="s">
        <v>1209</v>
      </c>
      <c r="B836" t="s">
        <v>274</v>
      </c>
      <c r="C836" t="s">
        <v>210</v>
      </c>
      <c r="D836" t="s">
        <v>211</v>
      </c>
      <c r="E836" t="s">
        <v>1243</v>
      </c>
      <c r="F836" t="s">
        <v>65</v>
      </c>
      <c r="G836" t="s">
        <v>1246</v>
      </c>
      <c r="H836">
        <v>1312604</v>
      </c>
      <c r="I836" t="s">
        <v>214</v>
      </c>
      <c r="J836" s="14">
        <v>45505</v>
      </c>
      <c r="K836" t="s">
        <v>1245</v>
      </c>
      <c r="L836" t="e">
        <f>VLOOKUP(H836,Sheet1!H:H,1,0)</f>
        <v>#N/A</v>
      </c>
    </row>
    <row r="837" spans="1:12">
      <c r="A837" t="s">
        <v>1209</v>
      </c>
      <c r="B837" t="s">
        <v>274</v>
      </c>
      <c r="C837" t="s">
        <v>210</v>
      </c>
      <c r="D837" t="s">
        <v>211</v>
      </c>
      <c r="E837" t="s">
        <v>1243</v>
      </c>
      <c r="F837" t="s">
        <v>65</v>
      </c>
      <c r="G837" t="s">
        <v>1247</v>
      </c>
      <c r="H837">
        <v>1331904</v>
      </c>
      <c r="I837" t="s">
        <v>222</v>
      </c>
      <c r="J837" s="14">
        <v>45698</v>
      </c>
      <c r="K837" t="s">
        <v>1245</v>
      </c>
      <c r="L837" t="e">
        <f>VLOOKUP(H837,Sheet1!H:H,1,0)</f>
        <v>#N/A</v>
      </c>
    </row>
    <row r="838" spans="1:12">
      <c r="A838" t="s">
        <v>1209</v>
      </c>
      <c r="B838" t="s">
        <v>274</v>
      </c>
      <c r="C838" t="s">
        <v>210</v>
      </c>
      <c r="D838" t="s">
        <v>211</v>
      </c>
      <c r="E838" t="s">
        <v>1243</v>
      </c>
      <c r="F838" t="s">
        <v>65</v>
      </c>
      <c r="G838" t="s">
        <v>1248</v>
      </c>
      <c r="H838">
        <v>1253904</v>
      </c>
      <c r="I838" t="s">
        <v>243</v>
      </c>
      <c r="J838" s="14">
        <v>44743</v>
      </c>
      <c r="K838" t="s">
        <v>1245</v>
      </c>
      <c r="L838" t="e">
        <f>VLOOKUP(H838,Sheet1!H:H,1,0)</f>
        <v>#N/A</v>
      </c>
    </row>
    <row r="839" spans="1:12">
      <c r="A839" t="s">
        <v>1209</v>
      </c>
      <c r="B839" t="s">
        <v>274</v>
      </c>
      <c r="C839" t="s">
        <v>210</v>
      </c>
      <c r="D839" t="s">
        <v>211</v>
      </c>
      <c r="E839" t="s">
        <v>1243</v>
      </c>
      <c r="F839" t="s">
        <v>65</v>
      </c>
      <c r="G839" t="s">
        <v>1249</v>
      </c>
      <c r="H839">
        <v>1325004</v>
      </c>
      <c r="I839" t="s">
        <v>214</v>
      </c>
      <c r="J839" s="14">
        <v>45614</v>
      </c>
      <c r="K839" t="s">
        <v>1245</v>
      </c>
      <c r="L839" t="e">
        <f>VLOOKUP(H839,Sheet1!H:H,1,0)</f>
        <v>#N/A</v>
      </c>
    </row>
    <row r="840" spans="1:12">
      <c r="A840" t="s">
        <v>1209</v>
      </c>
      <c r="B840" t="s">
        <v>274</v>
      </c>
      <c r="C840" t="s">
        <v>210</v>
      </c>
      <c r="D840" t="s">
        <v>287</v>
      </c>
      <c r="E840" t="s">
        <v>830</v>
      </c>
      <c r="F840" t="s">
        <v>65</v>
      </c>
      <c r="G840" t="s">
        <v>1250</v>
      </c>
      <c r="H840">
        <v>1339204</v>
      </c>
      <c r="I840" t="s">
        <v>316</v>
      </c>
      <c r="J840" s="14">
        <v>45901</v>
      </c>
      <c r="K840" t="s">
        <v>1217</v>
      </c>
      <c r="L840" t="e">
        <f>VLOOKUP(H840,Sheet1!H:H,1,0)</f>
        <v>#N/A</v>
      </c>
    </row>
    <row r="841" spans="1:12">
      <c r="A841" t="s">
        <v>1209</v>
      </c>
      <c r="B841" t="s">
        <v>274</v>
      </c>
      <c r="C841" t="s">
        <v>210</v>
      </c>
      <c r="D841" t="s">
        <v>211</v>
      </c>
      <c r="E841" t="s">
        <v>1243</v>
      </c>
      <c r="F841" t="s">
        <v>65</v>
      </c>
      <c r="G841" t="s">
        <v>1251</v>
      </c>
      <c r="H841">
        <v>1342804</v>
      </c>
      <c r="I841" t="s">
        <v>214</v>
      </c>
      <c r="J841" s="14">
        <v>45936</v>
      </c>
      <c r="K841" t="s">
        <v>1245</v>
      </c>
      <c r="L841" t="e">
        <f>VLOOKUP(H841,Sheet1!H:H,1,0)</f>
        <v>#N/A</v>
      </c>
    </row>
    <row r="842" spans="1:12">
      <c r="A842" t="s">
        <v>1209</v>
      </c>
      <c r="B842" t="s">
        <v>274</v>
      </c>
      <c r="C842" t="s">
        <v>210</v>
      </c>
      <c r="D842" t="s">
        <v>211</v>
      </c>
      <c r="E842" t="s">
        <v>1243</v>
      </c>
      <c r="F842" t="s">
        <v>65</v>
      </c>
      <c r="G842" t="s">
        <v>1252</v>
      </c>
      <c r="H842">
        <v>1354904</v>
      </c>
      <c r="I842" t="s">
        <v>214</v>
      </c>
      <c r="J842" s="14">
        <v>45999</v>
      </c>
      <c r="K842" t="s">
        <v>1245</v>
      </c>
      <c r="L842" t="e">
        <f>VLOOKUP(H842,Sheet1!H:H,1,0)</f>
        <v>#N/A</v>
      </c>
    </row>
    <row r="843" spans="1:12">
      <c r="A843" t="s">
        <v>1209</v>
      </c>
      <c r="B843" t="s">
        <v>274</v>
      </c>
      <c r="C843" t="s">
        <v>210</v>
      </c>
      <c r="D843" t="s">
        <v>211</v>
      </c>
      <c r="E843" t="s">
        <v>1216</v>
      </c>
      <c r="F843" t="s">
        <v>65</v>
      </c>
      <c r="G843" t="s">
        <v>1245</v>
      </c>
      <c r="H843">
        <v>1066104</v>
      </c>
      <c r="I843" t="s">
        <v>225</v>
      </c>
      <c r="J843" s="14">
        <v>41464</v>
      </c>
      <c r="K843" t="s">
        <v>1217</v>
      </c>
      <c r="L843" t="e">
        <f>VLOOKUP(H843,Sheet1!H:H,1,0)</f>
        <v>#N/A</v>
      </c>
    </row>
    <row r="844" spans="1:12">
      <c r="A844" t="s">
        <v>1209</v>
      </c>
      <c r="B844" t="s">
        <v>327</v>
      </c>
      <c r="C844" t="s">
        <v>210</v>
      </c>
      <c r="D844" t="s">
        <v>211</v>
      </c>
      <c r="E844" t="s">
        <v>1253</v>
      </c>
      <c r="F844" t="s">
        <v>66</v>
      </c>
      <c r="G844" t="s">
        <v>1254</v>
      </c>
      <c r="H844">
        <v>1338404</v>
      </c>
      <c r="I844" t="s">
        <v>214</v>
      </c>
      <c r="J844" s="14">
        <v>45888</v>
      </c>
      <c r="K844" t="s">
        <v>1255</v>
      </c>
      <c r="L844" t="e">
        <f>VLOOKUP(H844,Sheet1!H:H,1,0)</f>
        <v>#N/A</v>
      </c>
    </row>
    <row r="845" spans="1:12">
      <c r="A845" t="s">
        <v>1209</v>
      </c>
      <c r="B845" t="s">
        <v>327</v>
      </c>
      <c r="C845" t="s">
        <v>210</v>
      </c>
      <c r="D845" t="s">
        <v>211</v>
      </c>
      <c r="E845" t="s">
        <v>1253</v>
      </c>
      <c r="F845" t="s">
        <v>66</v>
      </c>
      <c r="G845" t="s">
        <v>1256</v>
      </c>
      <c r="H845">
        <v>1231704</v>
      </c>
      <c r="I845" t="s">
        <v>222</v>
      </c>
      <c r="J845" s="14">
        <v>44501</v>
      </c>
      <c r="K845" t="s">
        <v>1255</v>
      </c>
      <c r="L845" t="e">
        <f>VLOOKUP(H845,Sheet1!H:H,1,0)</f>
        <v>#N/A</v>
      </c>
    </row>
    <row r="846" spans="1:12">
      <c r="A846" t="s">
        <v>1209</v>
      </c>
      <c r="B846" t="s">
        <v>327</v>
      </c>
      <c r="C846" t="s">
        <v>210</v>
      </c>
      <c r="D846" t="s">
        <v>211</v>
      </c>
      <c r="E846" t="s">
        <v>1216</v>
      </c>
      <c r="F846" t="s">
        <v>66</v>
      </c>
      <c r="G846" t="s">
        <v>1255</v>
      </c>
      <c r="H846">
        <v>1119604</v>
      </c>
      <c r="I846" t="s">
        <v>225</v>
      </c>
      <c r="J846" s="14">
        <v>42502</v>
      </c>
      <c r="K846" t="s">
        <v>1217</v>
      </c>
      <c r="L846" t="e">
        <f>VLOOKUP(H846,Sheet1!H:H,1,0)</f>
        <v>#N/A</v>
      </c>
    </row>
    <row r="847" spans="1:12">
      <c r="A847" t="s">
        <v>1209</v>
      </c>
      <c r="B847" t="s">
        <v>327</v>
      </c>
      <c r="C847" t="s">
        <v>210</v>
      </c>
      <c r="D847" t="s">
        <v>211</v>
      </c>
      <c r="E847" t="s">
        <v>1253</v>
      </c>
      <c r="F847" t="s">
        <v>66</v>
      </c>
      <c r="G847" t="s">
        <v>1257</v>
      </c>
      <c r="H847">
        <v>1354604</v>
      </c>
      <c r="I847" t="s">
        <v>214</v>
      </c>
      <c r="J847" s="14">
        <v>46070</v>
      </c>
      <c r="K847" t="s">
        <v>1255</v>
      </c>
      <c r="L847" t="e">
        <f>VLOOKUP(H847,Sheet1!H:H,1,0)</f>
        <v>#N/A</v>
      </c>
    </row>
    <row r="848" spans="1:12">
      <c r="A848" t="s">
        <v>1209</v>
      </c>
      <c r="B848" t="s">
        <v>327</v>
      </c>
      <c r="C848" t="s">
        <v>210</v>
      </c>
      <c r="D848" t="s">
        <v>211</v>
      </c>
      <c r="E848" t="s">
        <v>1253</v>
      </c>
      <c r="F848" t="s">
        <v>66</v>
      </c>
      <c r="G848" t="s">
        <v>1258</v>
      </c>
      <c r="H848">
        <v>1355004</v>
      </c>
      <c r="I848" t="s">
        <v>214</v>
      </c>
      <c r="J848" s="14">
        <v>45999</v>
      </c>
      <c r="K848" t="s">
        <v>1255</v>
      </c>
      <c r="L848" t="e">
        <f>VLOOKUP(H848,Sheet1!H:H,1,0)</f>
        <v>#N/A</v>
      </c>
    </row>
    <row r="849" spans="1:12">
      <c r="A849" t="s">
        <v>1209</v>
      </c>
      <c r="B849" t="s">
        <v>327</v>
      </c>
      <c r="C849" t="s">
        <v>210</v>
      </c>
      <c r="D849" t="s">
        <v>211</v>
      </c>
      <c r="E849" t="s">
        <v>1253</v>
      </c>
      <c r="F849" t="s">
        <v>66</v>
      </c>
      <c r="G849" t="s">
        <v>1259</v>
      </c>
      <c r="H849">
        <v>1316704</v>
      </c>
      <c r="I849" t="s">
        <v>214</v>
      </c>
      <c r="J849" s="14">
        <v>45677</v>
      </c>
      <c r="K849" t="s">
        <v>1255</v>
      </c>
      <c r="L849" t="e">
        <f>VLOOKUP(H849,Sheet1!H:H,1,0)</f>
        <v>#N/A</v>
      </c>
    </row>
    <row r="850" spans="1:12">
      <c r="A850" t="s">
        <v>1209</v>
      </c>
      <c r="B850" t="s">
        <v>327</v>
      </c>
      <c r="C850" t="s">
        <v>210</v>
      </c>
      <c r="D850" t="s">
        <v>211</v>
      </c>
      <c r="E850" t="s">
        <v>1216</v>
      </c>
      <c r="F850" t="s">
        <v>66</v>
      </c>
      <c r="G850" t="s">
        <v>1260</v>
      </c>
      <c r="H850">
        <v>1081704</v>
      </c>
      <c r="I850" t="s">
        <v>313</v>
      </c>
      <c r="J850" s="14">
        <v>41701</v>
      </c>
      <c r="K850" t="s">
        <v>1217</v>
      </c>
      <c r="L850" t="e">
        <f>VLOOKUP(H850,Sheet1!H:H,1,0)</f>
        <v>#N/A</v>
      </c>
    </row>
    <row r="851" spans="1:12">
      <c r="A851" t="s">
        <v>1209</v>
      </c>
      <c r="B851" t="s">
        <v>286</v>
      </c>
      <c r="C851" t="s">
        <v>210</v>
      </c>
      <c r="D851" t="s">
        <v>211</v>
      </c>
      <c r="E851" t="s">
        <v>1261</v>
      </c>
      <c r="F851" t="s">
        <v>67</v>
      </c>
      <c r="G851" t="s">
        <v>1262</v>
      </c>
      <c r="H851">
        <v>1266204</v>
      </c>
      <c r="I851" t="s">
        <v>222</v>
      </c>
      <c r="J851" s="14">
        <v>44882</v>
      </c>
      <c r="K851" t="s">
        <v>1263</v>
      </c>
      <c r="L851" t="e">
        <f>VLOOKUP(H851,Sheet1!H:H,1,0)</f>
        <v>#N/A</v>
      </c>
    </row>
    <row r="852" spans="1:12">
      <c r="A852" t="s">
        <v>1209</v>
      </c>
      <c r="B852" t="s">
        <v>286</v>
      </c>
      <c r="C852" t="s">
        <v>210</v>
      </c>
      <c r="D852" t="s">
        <v>211</v>
      </c>
      <c r="E852" t="s">
        <v>1261</v>
      </c>
      <c r="F852" t="s">
        <v>67</v>
      </c>
      <c r="G852" t="s">
        <v>1264</v>
      </c>
      <c r="H852">
        <v>1282104</v>
      </c>
      <c r="I852" t="s">
        <v>214</v>
      </c>
      <c r="J852" s="14">
        <v>45124</v>
      </c>
      <c r="K852" t="s">
        <v>1263</v>
      </c>
      <c r="L852" t="e">
        <f>VLOOKUP(H852,Sheet1!H:H,1,0)</f>
        <v>#N/A</v>
      </c>
    </row>
    <row r="853" spans="1:12">
      <c r="A853" t="s">
        <v>1209</v>
      </c>
      <c r="B853" t="s">
        <v>286</v>
      </c>
      <c r="C853" t="s">
        <v>210</v>
      </c>
      <c r="D853" t="s">
        <v>287</v>
      </c>
      <c r="E853" t="s">
        <v>830</v>
      </c>
      <c r="F853" t="s">
        <v>67</v>
      </c>
      <c r="G853" t="s">
        <v>1265</v>
      </c>
      <c r="H853">
        <v>1337704</v>
      </c>
      <c r="I853" t="s">
        <v>688</v>
      </c>
      <c r="J853" s="14">
        <v>45839</v>
      </c>
      <c r="K853" t="s">
        <v>1217</v>
      </c>
      <c r="L853" t="e">
        <f>VLOOKUP(H853,Sheet1!H:H,1,0)</f>
        <v>#N/A</v>
      </c>
    </row>
    <row r="854" spans="1:12">
      <c r="A854" t="s">
        <v>1209</v>
      </c>
      <c r="B854" t="s">
        <v>286</v>
      </c>
      <c r="C854" t="s">
        <v>210</v>
      </c>
      <c r="D854" t="s">
        <v>211</v>
      </c>
      <c r="E854" t="s">
        <v>1261</v>
      </c>
      <c r="F854" t="s">
        <v>67</v>
      </c>
      <c r="G854" t="s">
        <v>1266</v>
      </c>
      <c r="H854">
        <v>1359004</v>
      </c>
      <c r="I854" t="s">
        <v>214</v>
      </c>
      <c r="J854" s="14">
        <v>46084</v>
      </c>
      <c r="K854" t="s">
        <v>1263</v>
      </c>
      <c r="L854" t="e">
        <f>VLOOKUP(H854,Sheet1!H:H,1,0)</f>
        <v>#N/A</v>
      </c>
    </row>
    <row r="855" spans="1:12">
      <c r="A855" t="s">
        <v>1209</v>
      </c>
      <c r="B855" t="s">
        <v>286</v>
      </c>
      <c r="C855" t="s">
        <v>210</v>
      </c>
      <c r="D855" t="s">
        <v>287</v>
      </c>
      <c r="E855" t="s">
        <v>633</v>
      </c>
      <c r="F855" t="s">
        <v>67</v>
      </c>
      <c r="G855" t="s">
        <v>1267</v>
      </c>
      <c r="H855">
        <v>1332704</v>
      </c>
      <c r="I855" t="s">
        <v>303</v>
      </c>
      <c r="J855" s="14">
        <v>45719</v>
      </c>
      <c r="K855" t="s">
        <v>1234</v>
      </c>
      <c r="L855" t="e">
        <f>VLOOKUP(H855,Sheet1!H:H,1,0)</f>
        <v>#N/A</v>
      </c>
    </row>
    <row r="856" spans="1:12">
      <c r="A856" t="s">
        <v>1209</v>
      </c>
      <c r="B856" t="s">
        <v>286</v>
      </c>
      <c r="C856" t="s">
        <v>210</v>
      </c>
      <c r="D856" t="s">
        <v>211</v>
      </c>
      <c r="E856" t="s">
        <v>1216</v>
      </c>
      <c r="F856" t="s">
        <v>67</v>
      </c>
      <c r="G856" t="s">
        <v>1263</v>
      </c>
      <c r="H856">
        <v>1187604</v>
      </c>
      <c r="I856" t="s">
        <v>225</v>
      </c>
      <c r="J856" s="14">
        <v>43445</v>
      </c>
      <c r="K856" t="s">
        <v>1217</v>
      </c>
      <c r="L856" t="e">
        <f>VLOOKUP(H856,Sheet1!H:H,1,0)</f>
        <v>#N/A</v>
      </c>
    </row>
    <row r="857" spans="1:12">
      <c r="A857" t="s">
        <v>1209</v>
      </c>
      <c r="B857" t="s">
        <v>286</v>
      </c>
      <c r="C857" t="s">
        <v>210</v>
      </c>
      <c r="D857" t="s">
        <v>211</v>
      </c>
      <c r="E857" t="s">
        <v>1261</v>
      </c>
      <c r="F857" t="s">
        <v>67</v>
      </c>
      <c r="G857" t="s">
        <v>1268</v>
      </c>
      <c r="H857">
        <v>1341704</v>
      </c>
      <c r="I857" t="s">
        <v>214</v>
      </c>
      <c r="J857" s="14">
        <v>45916</v>
      </c>
      <c r="K857" t="s">
        <v>1263</v>
      </c>
      <c r="L857" t="e">
        <f>VLOOKUP(H857,Sheet1!H:H,1,0)</f>
        <v>#N/A</v>
      </c>
    </row>
    <row r="858" spans="1:12">
      <c r="A858" t="s">
        <v>1209</v>
      </c>
      <c r="B858" t="s">
        <v>286</v>
      </c>
      <c r="C858" t="s">
        <v>210</v>
      </c>
      <c r="D858" t="s">
        <v>211</v>
      </c>
      <c r="E858" t="s">
        <v>1261</v>
      </c>
      <c r="F858" t="s">
        <v>67</v>
      </c>
      <c r="G858" t="s">
        <v>1269</v>
      </c>
      <c r="H858">
        <v>1350304</v>
      </c>
      <c r="I858" t="s">
        <v>220</v>
      </c>
      <c r="J858" s="14">
        <v>45964</v>
      </c>
      <c r="K858" t="s">
        <v>1263</v>
      </c>
      <c r="L858" t="e">
        <f>VLOOKUP(H858,Sheet1!H:H,1,0)</f>
        <v>#N/A</v>
      </c>
    </row>
    <row r="859" spans="1:12">
      <c r="A859" t="s">
        <v>1209</v>
      </c>
      <c r="B859" t="s">
        <v>286</v>
      </c>
      <c r="C859" t="s">
        <v>210</v>
      </c>
      <c r="D859" t="s">
        <v>211</v>
      </c>
      <c r="E859" t="s">
        <v>1261</v>
      </c>
      <c r="F859" t="s">
        <v>67</v>
      </c>
      <c r="G859" t="s">
        <v>1270</v>
      </c>
      <c r="H859">
        <v>1304204</v>
      </c>
      <c r="I859" t="s">
        <v>214</v>
      </c>
      <c r="J859" s="14">
        <v>45414</v>
      </c>
      <c r="K859" t="s">
        <v>1263</v>
      </c>
      <c r="L859" t="e">
        <f>VLOOKUP(H859,Sheet1!H:H,1,0)</f>
        <v>#N/A</v>
      </c>
    </row>
    <row r="860" spans="1:12">
      <c r="A860" t="s">
        <v>1209</v>
      </c>
      <c r="B860" t="s">
        <v>286</v>
      </c>
      <c r="C860" t="s">
        <v>210</v>
      </c>
      <c r="D860" t="s">
        <v>211</v>
      </c>
      <c r="E860" t="s">
        <v>1261</v>
      </c>
      <c r="F860" t="s">
        <v>67</v>
      </c>
      <c r="G860" t="s">
        <v>1271</v>
      </c>
      <c r="H860">
        <v>1257604</v>
      </c>
      <c r="I860" t="s">
        <v>243</v>
      </c>
      <c r="J860" s="14">
        <v>44866</v>
      </c>
      <c r="K860" t="s">
        <v>1263</v>
      </c>
      <c r="L860" t="e">
        <f>VLOOKUP(H860,Sheet1!H:H,1,0)</f>
        <v>#N/A</v>
      </c>
    </row>
    <row r="861" spans="1:12">
      <c r="A861" t="s">
        <v>1209</v>
      </c>
      <c r="B861" t="s">
        <v>286</v>
      </c>
      <c r="C861" t="s">
        <v>210</v>
      </c>
      <c r="D861" t="s">
        <v>211</v>
      </c>
      <c r="E861" t="s">
        <v>1261</v>
      </c>
      <c r="F861" t="s">
        <v>67</v>
      </c>
      <c r="G861" t="s">
        <v>1272</v>
      </c>
      <c r="H861">
        <v>1344104</v>
      </c>
      <c r="I861" t="s">
        <v>214</v>
      </c>
      <c r="J861" s="14">
        <v>45957</v>
      </c>
      <c r="K861" t="s">
        <v>1263</v>
      </c>
      <c r="L861" t="e">
        <f>VLOOKUP(H861,Sheet1!H:H,1,0)</f>
        <v>#N/A</v>
      </c>
    </row>
    <row r="862" spans="1:12">
      <c r="A862" t="s">
        <v>1209</v>
      </c>
      <c r="B862" t="s">
        <v>286</v>
      </c>
      <c r="C862" t="s">
        <v>210</v>
      </c>
      <c r="D862" t="s">
        <v>211</v>
      </c>
      <c r="E862" t="s">
        <v>1273</v>
      </c>
      <c r="F862" t="s">
        <v>68</v>
      </c>
      <c r="G862" t="s">
        <v>1274</v>
      </c>
      <c r="H862">
        <v>1310204</v>
      </c>
      <c r="I862" t="s">
        <v>214</v>
      </c>
      <c r="J862" s="14">
        <v>45537</v>
      </c>
      <c r="K862" t="s">
        <v>1275</v>
      </c>
      <c r="L862" t="e">
        <f>VLOOKUP(H862,Sheet1!H:H,1,0)</f>
        <v>#N/A</v>
      </c>
    </row>
    <row r="863" spans="1:12">
      <c r="A863" t="s">
        <v>1209</v>
      </c>
      <c r="B863" t="s">
        <v>286</v>
      </c>
      <c r="C863" t="s">
        <v>210</v>
      </c>
      <c r="D863" t="s">
        <v>211</v>
      </c>
      <c r="E863" t="s">
        <v>1273</v>
      </c>
      <c r="F863" t="s">
        <v>68</v>
      </c>
      <c r="G863" t="s">
        <v>1276</v>
      </c>
      <c r="H863">
        <v>1246404</v>
      </c>
      <c r="I863" t="s">
        <v>214</v>
      </c>
      <c r="J863" s="14">
        <v>44670</v>
      </c>
      <c r="K863" t="s">
        <v>1275</v>
      </c>
      <c r="L863" t="e">
        <f>VLOOKUP(H863,Sheet1!H:H,1,0)</f>
        <v>#N/A</v>
      </c>
    </row>
    <row r="864" spans="1:12">
      <c r="A864" t="s">
        <v>1209</v>
      </c>
      <c r="B864" t="s">
        <v>286</v>
      </c>
      <c r="C864" t="s">
        <v>210</v>
      </c>
      <c r="D864" t="s">
        <v>211</v>
      </c>
      <c r="E864" t="s">
        <v>1273</v>
      </c>
      <c r="F864" t="s">
        <v>68</v>
      </c>
      <c r="G864" t="s">
        <v>1277</v>
      </c>
      <c r="H864">
        <v>1285804</v>
      </c>
      <c r="I864" t="s">
        <v>214</v>
      </c>
      <c r="J864" s="14">
        <v>45614</v>
      </c>
      <c r="K864" t="s">
        <v>1275</v>
      </c>
      <c r="L864" t="e">
        <f>VLOOKUP(H864,Sheet1!H:H,1,0)</f>
        <v>#N/A</v>
      </c>
    </row>
    <row r="865" spans="1:12">
      <c r="A865" t="s">
        <v>1209</v>
      </c>
      <c r="B865" t="s">
        <v>286</v>
      </c>
      <c r="C865" t="s">
        <v>210</v>
      </c>
      <c r="D865" t="s">
        <v>287</v>
      </c>
      <c r="E865" t="s">
        <v>830</v>
      </c>
      <c r="F865" t="s">
        <v>68</v>
      </c>
      <c r="G865" t="s">
        <v>1278</v>
      </c>
      <c r="H865">
        <v>1338304</v>
      </c>
      <c r="I865" t="s">
        <v>323</v>
      </c>
      <c r="J865" s="14">
        <v>45888</v>
      </c>
      <c r="K865" t="s">
        <v>1217</v>
      </c>
      <c r="L865" t="e">
        <f>VLOOKUP(H865,Sheet1!H:H,1,0)</f>
        <v>#N/A</v>
      </c>
    </row>
    <row r="866" spans="1:12">
      <c r="A866" t="s">
        <v>1209</v>
      </c>
      <c r="B866" t="s">
        <v>286</v>
      </c>
      <c r="C866" t="s">
        <v>210</v>
      </c>
      <c r="D866" t="s">
        <v>211</v>
      </c>
      <c r="E866" t="s">
        <v>1273</v>
      </c>
      <c r="F866" t="s">
        <v>68</v>
      </c>
      <c r="G866" t="s">
        <v>1279</v>
      </c>
      <c r="H866">
        <v>1295004</v>
      </c>
      <c r="I866" t="s">
        <v>214</v>
      </c>
      <c r="J866" s="14">
        <v>45614</v>
      </c>
      <c r="K866" t="s">
        <v>1275</v>
      </c>
      <c r="L866" t="e">
        <f>VLOOKUP(H866,Sheet1!H:H,1,0)</f>
        <v>#N/A</v>
      </c>
    </row>
    <row r="867" spans="1:12">
      <c r="A867" t="s">
        <v>1209</v>
      </c>
      <c r="B867" t="s">
        <v>286</v>
      </c>
      <c r="C867" t="s">
        <v>210</v>
      </c>
      <c r="D867" t="s">
        <v>211</v>
      </c>
      <c r="E867" t="s">
        <v>1273</v>
      </c>
      <c r="F867" t="s">
        <v>68</v>
      </c>
      <c r="G867" t="s">
        <v>1280</v>
      </c>
      <c r="H867">
        <v>1338004</v>
      </c>
      <c r="I867" t="s">
        <v>214</v>
      </c>
      <c r="J867" s="14">
        <v>45877</v>
      </c>
      <c r="K867" t="s">
        <v>1275</v>
      </c>
      <c r="L867" t="e">
        <f>VLOOKUP(H867,Sheet1!H:H,1,0)</f>
        <v>#N/A</v>
      </c>
    </row>
    <row r="868" spans="1:12">
      <c r="A868" t="s">
        <v>1209</v>
      </c>
      <c r="B868" t="s">
        <v>286</v>
      </c>
      <c r="C868" t="s">
        <v>210</v>
      </c>
      <c r="D868" t="s">
        <v>211</v>
      </c>
      <c r="E868" t="s">
        <v>1216</v>
      </c>
      <c r="F868" t="s">
        <v>68</v>
      </c>
      <c r="G868" t="s">
        <v>1275</v>
      </c>
      <c r="H868">
        <v>1073804</v>
      </c>
      <c r="I868" t="s">
        <v>225</v>
      </c>
      <c r="J868" s="14">
        <v>41603</v>
      </c>
      <c r="K868" t="s">
        <v>1217</v>
      </c>
      <c r="L868" t="e">
        <f>VLOOKUP(H868,Sheet1!H:H,1,0)</f>
        <v>#N/A</v>
      </c>
    </row>
    <row r="869" spans="1:12">
      <c r="A869" t="s">
        <v>1209</v>
      </c>
      <c r="B869" t="s">
        <v>286</v>
      </c>
      <c r="C869" t="s">
        <v>210</v>
      </c>
      <c r="D869" t="s">
        <v>211</v>
      </c>
      <c r="E869" t="s">
        <v>1273</v>
      </c>
      <c r="F869" t="s">
        <v>68</v>
      </c>
      <c r="G869" t="s">
        <v>1281</v>
      </c>
      <c r="H869">
        <v>1325704</v>
      </c>
      <c r="I869" t="s">
        <v>220</v>
      </c>
      <c r="J869" s="14">
        <v>45614</v>
      </c>
      <c r="K869" t="s">
        <v>1275</v>
      </c>
      <c r="L869" t="e">
        <f>VLOOKUP(H869,Sheet1!H:H,1,0)</f>
        <v>#N/A</v>
      </c>
    </row>
    <row r="870" spans="1:12">
      <c r="A870" t="s">
        <v>1209</v>
      </c>
      <c r="B870" t="s">
        <v>286</v>
      </c>
      <c r="C870" t="s">
        <v>210</v>
      </c>
      <c r="D870" t="s">
        <v>211</v>
      </c>
      <c r="E870" t="s">
        <v>1273</v>
      </c>
      <c r="F870" t="s">
        <v>68</v>
      </c>
      <c r="G870" t="s">
        <v>1282</v>
      </c>
      <c r="H870">
        <v>1347404</v>
      </c>
      <c r="I870" t="s">
        <v>220</v>
      </c>
      <c r="J870" s="14">
        <v>45964</v>
      </c>
      <c r="K870" t="s">
        <v>1275</v>
      </c>
      <c r="L870" t="e">
        <f>VLOOKUP(H870,Sheet1!H:H,1,0)</f>
        <v>#N/A</v>
      </c>
    </row>
    <row r="871" spans="1:12">
      <c r="A871" t="s">
        <v>1209</v>
      </c>
      <c r="B871" t="s">
        <v>286</v>
      </c>
      <c r="C871" t="s">
        <v>210</v>
      </c>
      <c r="D871" t="s">
        <v>287</v>
      </c>
      <c r="E871" t="s">
        <v>830</v>
      </c>
      <c r="F871" t="s">
        <v>68</v>
      </c>
      <c r="G871" t="s">
        <v>1283</v>
      </c>
      <c r="H871">
        <v>1312904</v>
      </c>
      <c r="I871" t="s">
        <v>316</v>
      </c>
      <c r="J871" s="14">
        <v>45517</v>
      </c>
      <c r="K871" t="s">
        <v>1217</v>
      </c>
      <c r="L871" t="e">
        <f>VLOOKUP(H871,Sheet1!H:H,1,0)</f>
        <v>#N/A</v>
      </c>
    </row>
    <row r="872" spans="1:12">
      <c r="A872" t="s">
        <v>1209</v>
      </c>
      <c r="B872" t="s">
        <v>286</v>
      </c>
      <c r="C872" t="s">
        <v>210</v>
      </c>
      <c r="D872" t="s">
        <v>211</v>
      </c>
      <c r="E872" t="s">
        <v>1273</v>
      </c>
      <c r="F872" t="s">
        <v>68</v>
      </c>
      <c r="G872" t="s">
        <v>1284</v>
      </c>
      <c r="H872">
        <v>1295404</v>
      </c>
      <c r="I872" t="s">
        <v>243</v>
      </c>
      <c r="J872" s="14">
        <v>45383</v>
      </c>
      <c r="K872" t="s">
        <v>1275</v>
      </c>
      <c r="L872" t="e">
        <f>VLOOKUP(H872,Sheet1!H:H,1,0)</f>
        <v>#N/A</v>
      </c>
    </row>
    <row r="873" spans="1:12">
      <c r="A873" t="s">
        <v>1209</v>
      </c>
      <c r="B873" t="s">
        <v>286</v>
      </c>
      <c r="C873" t="s">
        <v>210</v>
      </c>
      <c r="D873" t="s">
        <v>211</v>
      </c>
      <c r="E873" t="s">
        <v>1273</v>
      </c>
      <c r="F873" t="s">
        <v>68</v>
      </c>
      <c r="G873" t="s">
        <v>1285</v>
      </c>
      <c r="H873">
        <v>1280804</v>
      </c>
      <c r="I873" t="s">
        <v>214</v>
      </c>
      <c r="J873" s="14">
        <v>45100</v>
      </c>
      <c r="K873" t="s">
        <v>1275</v>
      </c>
      <c r="L873" t="e">
        <f>VLOOKUP(H873,Sheet1!H:H,1,0)</f>
        <v>#N/A</v>
      </c>
    </row>
    <row r="874" spans="1:12">
      <c r="A874" t="s">
        <v>1209</v>
      </c>
      <c r="B874" t="s">
        <v>286</v>
      </c>
      <c r="C874" t="s">
        <v>210</v>
      </c>
      <c r="D874" t="s">
        <v>211</v>
      </c>
      <c r="E874" t="s">
        <v>1273</v>
      </c>
      <c r="F874" t="s">
        <v>68</v>
      </c>
      <c r="G874" t="s">
        <v>1286</v>
      </c>
      <c r="H874">
        <v>1304004</v>
      </c>
      <c r="I874" t="s">
        <v>214</v>
      </c>
      <c r="J874" s="14">
        <v>45414</v>
      </c>
      <c r="K874" t="s">
        <v>1275</v>
      </c>
      <c r="L874" t="e">
        <f>VLOOKUP(H874,Sheet1!H:H,1,0)</f>
        <v>#N/A</v>
      </c>
    </row>
    <row r="875" spans="1:12">
      <c r="A875" t="s">
        <v>1209</v>
      </c>
      <c r="B875" t="s">
        <v>286</v>
      </c>
      <c r="C875" t="s">
        <v>210</v>
      </c>
      <c r="D875" t="s">
        <v>211</v>
      </c>
      <c r="E875" t="s">
        <v>1273</v>
      </c>
      <c r="F875" t="s">
        <v>68</v>
      </c>
      <c r="G875" t="s">
        <v>1287</v>
      </c>
      <c r="H875">
        <v>1159404</v>
      </c>
      <c r="I875" t="s">
        <v>222</v>
      </c>
      <c r="J875" s="14">
        <v>43055</v>
      </c>
      <c r="K875" t="s">
        <v>1275</v>
      </c>
      <c r="L875" t="e">
        <f>VLOOKUP(H875,Sheet1!H:H,1,0)</f>
        <v>#N/A</v>
      </c>
    </row>
    <row r="876" spans="1:12">
      <c r="A876" t="s">
        <v>1209</v>
      </c>
      <c r="B876" t="s">
        <v>286</v>
      </c>
      <c r="C876" t="s">
        <v>210</v>
      </c>
      <c r="D876" t="s">
        <v>287</v>
      </c>
      <c r="E876" t="s">
        <v>633</v>
      </c>
      <c r="F876" t="s">
        <v>68</v>
      </c>
      <c r="G876" t="s">
        <v>1288</v>
      </c>
      <c r="H876">
        <v>1201504</v>
      </c>
      <c r="I876" t="s">
        <v>731</v>
      </c>
      <c r="J876" s="14">
        <v>44795</v>
      </c>
      <c r="K876" t="s">
        <v>1234</v>
      </c>
      <c r="L876" t="e">
        <f>VLOOKUP(H876,Sheet1!H:H,1,0)</f>
        <v>#N/A</v>
      </c>
    </row>
    <row r="877" spans="1:12">
      <c r="A877" t="s">
        <v>1209</v>
      </c>
      <c r="B877" t="s">
        <v>293</v>
      </c>
      <c r="C877" t="s">
        <v>210</v>
      </c>
      <c r="D877" t="s">
        <v>211</v>
      </c>
      <c r="E877" t="s">
        <v>1289</v>
      </c>
      <c r="F877" t="s">
        <v>69</v>
      </c>
      <c r="G877" t="s">
        <v>1290</v>
      </c>
      <c r="H877">
        <v>1342504</v>
      </c>
      <c r="I877" t="s">
        <v>214</v>
      </c>
      <c r="J877" s="14">
        <v>45936</v>
      </c>
      <c r="K877" t="s">
        <v>1291</v>
      </c>
      <c r="L877" t="e">
        <f>VLOOKUP(H877,Sheet1!H:H,1,0)</f>
        <v>#N/A</v>
      </c>
    </row>
    <row r="878" spans="1:12">
      <c r="A878" t="s">
        <v>1209</v>
      </c>
      <c r="B878" t="s">
        <v>293</v>
      </c>
      <c r="C878" t="s">
        <v>210</v>
      </c>
      <c r="D878" t="s">
        <v>211</v>
      </c>
      <c r="E878" t="s">
        <v>1289</v>
      </c>
      <c r="F878" t="s">
        <v>69</v>
      </c>
      <c r="G878" t="s">
        <v>1292</v>
      </c>
      <c r="H878">
        <v>1313404</v>
      </c>
      <c r="I878" t="s">
        <v>214</v>
      </c>
      <c r="J878" s="14">
        <v>45537</v>
      </c>
      <c r="K878" t="s">
        <v>1291</v>
      </c>
      <c r="L878" t="e">
        <f>VLOOKUP(H878,Sheet1!H:H,1,0)</f>
        <v>#N/A</v>
      </c>
    </row>
    <row r="879" spans="1:12">
      <c r="A879" t="s">
        <v>1209</v>
      </c>
      <c r="B879" t="s">
        <v>293</v>
      </c>
      <c r="C879" t="s">
        <v>210</v>
      </c>
      <c r="D879" t="s">
        <v>211</v>
      </c>
      <c r="E879" t="s">
        <v>1289</v>
      </c>
      <c r="F879" t="s">
        <v>69</v>
      </c>
      <c r="G879" t="s">
        <v>1293</v>
      </c>
      <c r="H879">
        <v>1277904</v>
      </c>
      <c r="I879" t="s">
        <v>214</v>
      </c>
      <c r="J879" s="14">
        <v>45761</v>
      </c>
      <c r="K879" t="s">
        <v>1291</v>
      </c>
      <c r="L879" t="e">
        <f>VLOOKUP(H879,Sheet1!H:H,1,0)</f>
        <v>#N/A</v>
      </c>
    </row>
    <row r="880" spans="1:12">
      <c r="A880" t="s">
        <v>1209</v>
      </c>
      <c r="B880" t="s">
        <v>293</v>
      </c>
      <c r="C880" t="s">
        <v>210</v>
      </c>
      <c r="D880" t="s">
        <v>211</v>
      </c>
      <c r="E880" t="s">
        <v>1289</v>
      </c>
      <c r="F880" t="s">
        <v>69</v>
      </c>
      <c r="G880" t="s">
        <v>1294</v>
      </c>
      <c r="H880">
        <v>1341604</v>
      </c>
      <c r="I880" t="s">
        <v>214</v>
      </c>
      <c r="J880" s="14">
        <v>45916</v>
      </c>
      <c r="K880" t="s">
        <v>1291</v>
      </c>
      <c r="L880" t="e">
        <f>VLOOKUP(H880,Sheet1!H:H,1,0)</f>
        <v>#N/A</v>
      </c>
    </row>
    <row r="881" spans="1:12">
      <c r="A881" t="s">
        <v>1209</v>
      </c>
      <c r="B881" t="s">
        <v>293</v>
      </c>
      <c r="C881" t="s">
        <v>210</v>
      </c>
      <c r="D881" t="s">
        <v>211</v>
      </c>
      <c r="E881" t="s">
        <v>1289</v>
      </c>
      <c r="F881" t="s">
        <v>69</v>
      </c>
      <c r="G881" t="s">
        <v>1295</v>
      </c>
      <c r="H881">
        <v>1325204</v>
      </c>
      <c r="I881" t="s">
        <v>214</v>
      </c>
      <c r="J881" s="14">
        <v>45733</v>
      </c>
      <c r="K881" t="s">
        <v>1291</v>
      </c>
      <c r="L881" t="e">
        <f>VLOOKUP(H881,Sheet1!H:H,1,0)</f>
        <v>#N/A</v>
      </c>
    </row>
    <row r="882" spans="1:12">
      <c r="A882" t="s">
        <v>1209</v>
      </c>
      <c r="B882" t="s">
        <v>293</v>
      </c>
      <c r="C882" t="s">
        <v>210</v>
      </c>
      <c r="D882" t="s">
        <v>211</v>
      </c>
      <c r="E882" t="s">
        <v>1216</v>
      </c>
      <c r="F882" t="s">
        <v>69</v>
      </c>
      <c r="G882" t="s">
        <v>1291</v>
      </c>
      <c r="H882">
        <v>1087704</v>
      </c>
      <c r="I882" t="s">
        <v>225</v>
      </c>
      <c r="J882" s="14">
        <v>41830</v>
      </c>
      <c r="K882" t="s">
        <v>1217</v>
      </c>
      <c r="L882" t="e">
        <f>VLOOKUP(H882,Sheet1!H:H,1,0)</f>
        <v>#N/A</v>
      </c>
    </row>
    <row r="883" spans="1:12">
      <c r="A883" t="s">
        <v>1209</v>
      </c>
      <c r="B883" t="s">
        <v>293</v>
      </c>
      <c r="C883" t="s">
        <v>210</v>
      </c>
      <c r="D883" t="s">
        <v>211</v>
      </c>
      <c r="E883" t="s">
        <v>1289</v>
      </c>
      <c r="F883" t="s">
        <v>69</v>
      </c>
      <c r="G883" t="s">
        <v>1296</v>
      </c>
      <c r="H883">
        <v>1179604</v>
      </c>
      <c r="I883" t="s">
        <v>243</v>
      </c>
      <c r="J883" s="14">
        <v>43416</v>
      </c>
      <c r="K883" t="s">
        <v>1291</v>
      </c>
      <c r="L883" t="e">
        <f>VLOOKUP(H883,Sheet1!H:H,1,0)</f>
        <v>#N/A</v>
      </c>
    </row>
    <row r="884" spans="1:12">
      <c r="A884" t="s">
        <v>1209</v>
      </c>
      <c r="B884" t="s">
        <v>293</v>
      </c>
      <c r="C884" t="s">
        <v>210</v>
      </c>
      <c r="D884" t="s">
        <v>211</v>
      </c>
      <c r="E884" t="s">
        <v>1289</v>
      </c>
      <c r="F884" t="s">
        <v>69</v>
      </c>
      <c r="G884" t="s">
        <v>1297</v>
      </c>
      <c r="H884">
        <v>1347604</v>
      </c>
      <c r="I884" t="s">
        <v>214</v>
      </c>
      <c r="J884" s="14">
        <v>45964</v>
      </c>
      <c r="K884" t="s">
        <v>1291</v>
      </c>
      <c r="L884" t="e">
        <f>VLOOKUP(H884,Sheet1!H:H,1,0)</f>
        <v>#N/A</v>
      </c>
    </row>
    <row r="885" spans="1:12">
      <c r="A885" t="s">
        <v>1209</v>
      </c>
      <c r="B885" t="s">
        <v>293</v>
      </c>
      <c r="C885" t="s">
        <v>210</v>
      </c>
      <c r="D885" t="s">
        <v>211</v>
      </c>
      <c r="E885" t="s">
        <v>1289</v>
      </c>
      <c r="F885" t="s">
        <v>69</v>
      </c>
      <c r="G885" t="s">
        <v>1298</v>
      </c>
      <c r="H885">
        <v>1329604</v>
      </c>
      <c r="I885" t="s">
        <v>214</v>
      </c>
      <c r="J885" s="14">
        <v>45733</v>
      </c>
      <c r="K885" t="s">
        <v>1291</v>
      </c>
      <c r="L885" t="e">
        <f>VLOOKUP(H885,Sheet1!H:H,1,0)</f>
        <v>#N/A</v>
      </c>
    </row>
    <row r="886" spans="1:12">
      <c r="A886" t="s">
        <v>1209</v>
      </c>
      <c r="B886" t="s">
        <v>293</v>
      </c>
      <c r="C886" t="s">
        <v>210</v>
      </c>
      <c r="D886" t="s">
        <v>211</v>
      </c>
      <c r="E886" t="s">
        <v>1289</v>
      </c>
      <c r="F886" t="s">
        <v>69</v>
      </c>
      <c r="G886" t="s">
        <v>1299</v>
      </c>
      <c r="H886">
        <v>1308804</v>
      </c>
      <c r="I886" t="s">
        <v>214</v>
      </c>
      <c r="J886" s="14">
        <v>45505</v>
      </c>
      <c r="K886" t="s">
        <v>1291</v>
      </c>
      <c r="L886" t="e">
        <f>VLOOKUP(H886,Sheet1!H:H,1,0)</f>
        <v>#N/A</v>
      </c>
    </row>
    <row r="887" spans="1:12">
      <c r="A887" t="s">
        <v>1209</v>
      </c>
      <c r="B887" t="s">
        <v>293</v>
      </c>
      <c r="C887" t="s">
        <v>210</v>
      </c>
      <c r="D887" t="s">
        <v>211</v>
      </c>
      <c r="E887" t="s">
        <v>1289</v>
      </c>
      <c r="F887" t="s">
        <v>69</v>
      </c>
      <c r="G887" t="s">
        <v>1300</v>
      </c>
      <c r="H887">
        <v>1348004</v>
      </c>
      <c r="I887" t="s">
        <v>214</v>
      </c>
      <c r="J887" s="14">
        <v>45964</v>
      </c>
      <c r="K887" t="s">
        <v>1291</v>
      </c>
      <c r="L887" t="e">
        <f>VLOOKUP(H887,Sheet1!H:H,1,0)</f>
        <v>#N/A</v>
      </c>
    </row>
    <row r="888" spans="1:12">
      <c r="A888" t="s">
        <v>1209</v>
      </c>
      <c r="B888" t="s">
        <v>293</v>
      </c>
      <c r="C888" t="s">
        <v>210</v>
      </c>
      <c r="D888" t="s">
        <v>211</v>
      </c>
      <c r="E888" t="s">
        <v>1289</v>
      </c>
      <c r="F888" t="s">
        <v>69</v>
      </c>
      <c r="G888" t="s">
        <v>1301</v>
      </c>
      <c r="H888">
        <v>1308304</v>
      </c>
      <c r="I888" t="s">
        <v>214</v>
      </c>
      <c r="J888" s="14">
        <v>45505</v>
      </c>
      <c r="K888" t="s">
        <v>1291</v>
      </c>
      <c r="L888" t="e">
        <f>VLOOKUP(H888,Sheet1!H:H,1,0)</f>
        <v>#N/A</v>
      </c>
    </row>
    <row r="889" spans="1:12">
      <c r="A889" t="s">
        <v>1209</v>
      </c>
      <c r="B889" t="s">
        <v>293</v>
      </c>
      <c r="C889" t="s">
        <v>210</v>
      </c>
      <c r="D889" t="s">
        <v>211</v>
      </c>
      <c r="E889" t="s">
        <v>1289</v>
      </c>
      <c r="F889" t="s">
        <v>69</v>
      </c>
      <c r="G889" t="s">
        <v>1302</v>
      </c>
      <c r="H889">
        <v>1140504</v>
      </c>
      <c r="I889" t="s">
        <v>222</v>
      </c>
      <c r="J889" s="14">
        <v>42762</v>
      </c>
      <c r="K889" t="s">
        <v>1291</v>
      </c>
      <c r="L889" t="e">
        <f>VLOOKUP(H889,Sheet1!H:H,1,0)</f>
        <v>#N/A</v>
      </c>
    </row>
    <row r="890" spans="1:12">
      <c r="A890" t="s">
        <v>1209</v>
      </c>
      <c r="B890" t="s">
        <v>293</v>
      </c>
      <c r="C890" t="s">
        <v>210</v>
      </c>
      <c r="D890" t="s">
        <v>211</v>
      </c>
      <c r="E890" t="s">
        <v>1289</v>
      </c>
      <c r="F890" t="s">
        <v>69</v>
      </c>
      <c r="G890" t="s">
        <v>1303</v>
      </c>
      <c r="H890">
        <v>1333004</v>
      </c>
      <c r="I890" t="s">
        <v>220</v>
      </c>
      <c r="J890" s="14">
        <v>45733</v>
      </c>
      <c r="K890" t="s">
        <v>1291</v>
      </c>
      <c r="L890" t="e">
        <f>VLOOKUP(H890,Sheet1!H:H,1,0)</f>
        <v>#N/A</v>
      </c>
    </row>
    <row r="891" spans="1:12">
      <c r="A891" t="s">
        <v>1209</v>
      </c>
      <c r="B891" t="s">
        <v>293</v>
      </c>
      <c r="C891" t="s">
        <v>210</v>
      </c>
      <c r="D891" t="s">
        <v>211</v>
      </c>
      <c r="E891" t="s">
        <v>1289</v>
      </c>
      <c r="F891" t="s">
        <v>69</v>
      </c>
      <c r="G891" t="s">
        <v>1304</v>
      </c>
      <c r="H891">
        <v>1332804</v>
      </c>
      <c r="I891" t="s">
        <v>214</v>
      </c>
      <c r="J891" s="14">
        <v>45733</v>
      </c>
      <c r="K891" t="s">
        <v>1291</v>
      </c>
      <c r="L891" t="e">
        <f>VLOOKUP(H891,Sheet1!H:H,1,0)</f>
        <v>#N/A</v>
      </c>
    </row>
    <row r="892" spans="1:12">
      <c r="A892" t="s">
        <v>1209</v>
      </c>
      <c r="B892" t="s">
        <v>293</v>
      </c>
      <c r="C892" t="s">
        <v>210</v>
      </c>
      <c r="D892" t="s">
        <v>211</v>
      </c>
      <c r="E892" t="s">
        <v>1289</v>
      </c>
      <c r="F892" t="s">
        <v>69</v>
      </c>
      <c r="G892" t="s">
        <v>1305</v>
      </c>
      <c r="H892">
        <v>1310004</v>
      </c>
      <c r="I892" t="s">
        <v>220</v>
      </c>
      <c r="J892" s="14">
        <v>45460</v>
      </c>
      <c r="K892" t="s">
        <v>1291</v>
      </c>
      <c r="L892" t="e">
        <f>VLOOKUP(H892,Sheet1!H:H,1,0)</f>
        <v>#N/A</v>
      </c>
    </row>
    <row r="893" spans="1:12">
      <c r="A893" t="s">
        <v>1209</v>
      </c>
      <c r="B893" t="s">
        <v>293</v>
      </c>
      <c r="C893" t="s">
        <v>210</v>
      </c>
      <c r="D893" t="s">
        <v>211</v>
      </c>
      <c r="E893" t="s">
        <v>1289</v>
      </c>
      <c r="F893" t="s">
        <v>69</v>
      </c>
      <c r="G893" t="s">
        <v>1306</v>
      </c>
      <c r="H893">
        <v>1230704</v>
      </c>
      <c r="I893" t="s">
        <v>214</v>
      </c>
      <c r="J893" s="14">
        <v>44872</v>
      </c>
      <c r="K893" t="s">
        <v>1291</v>
      </c>
      <c r="L893" t="e">
        <f>VLOOKUP(H893,Sheet1!H:H,1,0)</f>
        <v>#N/A</v>
      </c>
    </row>
    <row r="894" spans="1:12">
      <c r="A894" t="s">
        <v>1209</v>
      </c>
      <c r="B894" t="s">
        <v>293</v>
      </c>
      <c r="C894" t="s">
        <v>210</v>
      </c>
      <c r="D894" t="s">
        <v>287</v>
      </c>
      <c r="E894" t="s">
        <v>830</v>
      </c>
      <c r="F894" t="s">
        <v>69</v>
      </c>
      <c r="G894" t="s">
        <v>1307</v>
      </c>
      <c r="H894">
        <v>1312504</v>
      </c>
      <c r="I894" t="s">
        <v>316</v>
      </c>
      <c r="J894" s="14">
        <v>45502</v>
      </c>
      <c r="K894" t="s">
        <v>1217</v>
      </c>
      <c r="L894" t="e">
        <f>VLOOKUP(H894,Sheet1!H:H,1,0)</f>
        <v>#N/A</v>
      </c>
    </row>
    <row r="895" spans="1:12">
      <c r="A895" t="s">
        <v>1209</v>
      </c>
      <c r="B895" t="s">
        <v>293</v>
      </c>
      <c r="C895" t="s">
        <v>210</v>
      </c>
      <c r="D895" t="s">
        <v>211</v>
      </c>
      <c r="E895" t="s">
        <v>1289</v>
      </c>
      <c r="F895" t="s">
        <v>69</v>
      </c>
      <c r="G895" t="s">
        <v>1308</v>
      </c>
      <c r="H895">
        <v>1332904</v>
      </c>
      <c r="I895" t="s">
        <v>240</v>
      </c>
      <c r="J895" s="14">
        <v>45733</v>
      </c>
      <c r="K895" t="s">
        <v>1291</v>
      </c>
      <c r="L895" t="e">
        <f>VLOOKUP(H895,Sheet1!H:H,1,0)</f>
        <v>#N/A</v>
      </c>
    </row>
    <row r="896" spans="1:12">
      <c r="A896" t="s">
        <v>1209</v>
      </c>
      <c r="B896" t="s">
        <v>293</v>
      </c>
      <c r="C896" t="s">
        <v>210</v>
      </c>
      <c r="D896" t="s">
        <v>211</v>
      </c>
      <c r="E896" t="s">
        <v>1309</v>
      </c>
      <c r="F896" t="s">
        <v>70</v>
      </c>
      <c r="G896" t="s">
        <v>1310</v>
      </c>
      <c r="H896">
        <v>1287604</v>
      </c>
      <c r="I896" t="s">
        <v>214</v>
      </c>
      <c r="J896" s="14">
        <v>45460</v>
      </c>
      <c r="K896" t="s">
        <v>1311</v>
      </c>
      <c r="L896" t="e">
        <f>VLOOKUP(H896,Sheet1!H:H,1,0)</f>
        <v>#N/A</v>
      </c>
    </row>
    <row r="897" spans="1:12">
      <c r="A897" t="s">
        <v>1209</v>
      </c>
      <c r="B897" t="s">
        <v>293</v>
      </c>
      <c r="C897" t="s">
        <v>210</v>
      </c>
      <c r="D897" t="s">
        <v>211</v>
      </c>
      <c r="E897" t="s">
        <v>1309</v>
      </c>
      <c r="F897" t="s">
        <v>70</v>
      </c>
      <c r="G897" t="s">
        <v>1312</v>
      </c>
      <c r="H897">
        <v>1317304</v>
      </c>
      <c r="I897" t="s">
        <v>214</v>
      </c>
      <c r="J897" s="14">
        <v>46054</v>
      </c>
      <c r="K897" t="s">
        <v>1311</v>
      </c>
      <c r="L897" t="e">
        <f>VLOOKUP(H897,Sheet1!H:H,1,0)</f>
        <v>#N/A</v>
      </c>
    </row>
    <row r="898" spans="1:12">
      <c r="A898" t="s">
        <v>1209</v>
      </c>
      <c r="B898" t="s">
        <v>293</v>
      </c>
      <c r="C898" t="s">
        <v>210</v>
      </c>
      <c r="D898" t="s">
        <v>211</v>
      </c>
      <c r="E898" t="s">
        <v>1309</v>
      </c>
      <c r="F898" t="s">
        <v>70</v>
      </c>
      <c r="G898" t="s">
        <v>1313</v>
      </c>
      <c r="H898">
        <v>1287804</v>
      </c>
      <c r="I898" t="s">
        <v>214</v>
      </c>
      <c r="J898" s="14">
        <v>45537</v>
      </c>
      <c r="K898" t="s">
        <v>1311</v>
      </c>
      <c r="L898" t="e">
        <f>VLOOKUP(H898,Sheet1!H:H,1,0)</f>
        <v>#N/A</v>
      </c>
    </row>
    <row r="899" spans="1:12">
      <c r="A899" t="s">
        <v>1209</v>
      </c>
      <c r="B899" t="s">
        <v>293</v>
      </c>
      <c r="C899" t="s">
        <v>210</v>
      </c>
      <c r="D899" t="s">
        <v>287</v>
      </c>
      <c r="E899" t="s">
        <v>830</v>
      </c>
      <c r="F899" t="s">
        <v>70</v>
      </c>
      <c r="G899" t="s">
        <v>1314</v>
      </c>
      <c r="H899">
        <v>1312104</v>
      </c>
      <c r="I899" t="s">
        <v>688</v>
      </c>
      <c r="J899" s="14">
        <v>45481</v>
      </c>
      <c r="K899" t="s">
        <v>1217</v>
      </c>
      <c r="L899" t="e">
        <f>VLOOKUP(H899,Sheet1!H:H,1,0)</f>
        <v>#N/A</v>
      </c>
    </row>
    <row r="900" spans="1:12">
      <c r="A900" t="s">
        <v>1209</v>
      </c>
      <c r="B900" t="s">
        <v>293</v>
      </c>
      <c r="C900" t="s">
        <v>210</v>
      </c>
      <c r="D900" t="s">
        <v>211</v>
      </c>
      <c r="E900" t="s">
        <v>1309</v>
      </c>
      <c r="F900" t="s">
        <v>70</v>
      </c>
      <c r="G900" t="s">
        <v>1315</v>
      </c>
      <c r="H900">
        <v>1213204</v>
      </c>
      <c r="I900" t="s">
        <v>214</v>
      </c>
      <c r="J900" s="14">
        <v>45768</v>
      </c>
      <c r="K900" t="s">
        <v>1311</v>
      </c>
      <c r="L900" t="e">
        <f>VLOOKUP(H900,Sheet1!H:H,1,0)</f>
        <v>#N/A</v>
      </c>
    </row>
    <row r="901" spans="1:12">
      <c r="A901" t="s">
        <v>1209</v>
      </c>
      <c r="B901" t="s">
        <v>293</v>
      </c>
      <c r="C901" t="s">
        <v>210</v>
      </c>
      <c r="D901" t="s">
        <v>211</v>
      </c>
      <c r="E901" t="s">
        <v>1309</v>
      </c>
      <c r="F901" t="s">
        <v>70</v>
      </c>
      <c r="G901" t="s">
        <v>1316</v>
      </c>
      <c r="H901">
        <v>1324104</v>
      </c>
      <c r="I901" t="s">
        <v>214</v>
      </c>
      <c r="J901" s="14">
        <v>45870</v>
      </c>
      <c r="K901" t="s">
        <v>1311</v>
      </c>
      <c r="L901" t="e">
        <f>VLOOKUP(H901,Sheet1!H:H,1,0)</f>
        <v>#N/A</v>
      </c>
    </row>
    <row r="902" spans="1:12">
      <c r="A902" t="s">
        <v>1209</v>
      </c>
      <c r="B902" t="s">
        <v>293</v>
      </c>
      <c r="C902" t="s">
        <v>210</v>
      </c>
      <c r="D902" t="s">
        <v>211</v>
      </c>
      <c r="E902" t="s">
        <v>1309</v>
      </c>
      <c r="F902" t="s">
        <v>70</v>
      </c>
      <c r="G902" t="s">
        <v>1317</v>
      </c>
      <c r="H902">
        <v>1245504</v>
      </c>
      <c r="I902" t="s">
        <v>214</v>
      </c>
      <c r="J902" s="14">
        <v>44636</v>
      </c>
      <c r="K902" t="s">
        <v>1311</v>
      </c>
      <c r="L902" t="e">
        <f>VLOOKUP(H902,Sheet1!H:H,1,0)</f>
        <v>#N/A</v>
      </c>
    </row>
    <row r="903" spans="1:12">
      <c r="A903" t="s">
        <v>1209</v>
      </c>
      <c r="B903" t="s">
        <v>293</v>
      </c>
      <c r="C903" t="s">
        <v>210</v>
      </c>
      <c r="D903" t="s">
        <v>287</v>
      </c>
      <c r="E903" t="s">
        <v>830</v>
      </c>
      <c r="F903" t="s">
        <v>70</v>
      </c>
      <c r="G903" t="s">
        <v>1318</v>
      </c>
      <c r="H903">
        <v>1246904</v>
      </c>
      <c r="I903" t="s">
        <v>308</v>
      </c>
      <c r="J903" s="14">
        <v>44676</v>
      </c>
      <c r="K903" t="s">
        <v>1217</v>
      </c>
      <c r="L903" t="e">
        <f>VLOOKUP(H903,Sheet1!H:H,1,0)</f>
        <v>#N/A</v>
      </c>
    </row>
    <row r="904" spans="1:12">
      <c r="A904" t="s">
        <v>1209</v>
      </c>
      <c r="B904" t="s">
        <v>293</v>
      </c>
      <c r="C904" t="s">
        <v>210</v>
      </c>
      <c r="D904" t="s">
        <v>211</v>
      </c>
      <c r="E904" t="s">
        <v>1309</v>
      </c>
      <c r="F904" t="s">
        <v>70</v>
      </c>
      <c r="G904" t="s">
        <v>1319</v>
      </c>
      <c r="H904">
        <v>1307804</v>
      </c>
      <c r="I904" t="s">
        <v>220</v>
      </c>
      <c r="J904" s="14">
        <v>45460</v>
      </c>
      <c r="K904" t="s">
        <v>1311</v>
      </c>
      <c r="L904" t="e">
        <f>VLOOKUP(H904,Sheet1!H:H,1,0)</f>
        <v>#N/A</v>
      </c>
    </row>
    <row r="905" spans="1:12">
      <c r="A905" t="s">
        <v>1209</v>
      </c>
      <c r="B905" t="s">
        <v>293</v>
      </c>
      <c r="C905" t="s">
        <v>210</v>
      </c>
      <c r="D905" t="s">
        <v>211</v>
      </c>
      <c r="E905" t="s">
        <v>1216</v>
      </c>
      <c r="F905" t="s">
        <v>70</v>
      </c>
      <c r="G905" t="s">
        <v>1311</v>
      </c>
      <c r="H905">
        <v>1057004</v>
      </c>
      <c r="I905" t="s">
        <v>225</v>
      </c>
      <c r="J905" s="14">
        <v>41498</v>
      </c>
      <c r="K905" t="s">
        <v>1217</v>
      </c>
      <c r="L905" t="e">
        <f>VLOOKUP(H905,Sheet1!H:H,1,0)</f>
        <v>#N/A</v>
      </c>
    </row>
    <row r="906" spans="1:12">
      <c r="A906" t="s">
        <v>1209</v>
      </c>
      <c r="B906" t="s">
        <v>293</v>
      </c>
      <c r="C906" t="s">
        <v>210</v>
      </c>
      <c r="D906" t="s">
        <v>211</v>
      </c>
      <c r="E906" t="s">
        <v>1309</v>
      </c>
      <c r="F906" t="s">
        <v>70</v>
      </c>
      <c r="G906" t="s">
        <v>1320</v>
      </c>
      <c r="H906">
        <v>1336404</v>
      </c>
      <c r="I906" t="s">
        <v>214</v>
      </c>
      <c r="J906" s="14">
        <v>45831</v>
      </c>
      <c r="K906" t="s">
        <v>1311</v>
      </c>
      <c r="L906" t="e">
        <f>VLOOKUP(H906,Sheet1!H:H,1,0)</f>
        <v>#N/A</v>
      </c>
    </row>
    <row r="907" spans="1:12">
      <c r="A907" t="s">
        <v>1209</v>
      </c>
      <c r="B907" t="s">
        <v>293</v>
      </c>
      <c r="C907" t="s">
        <v>210</v>
      </c>
      <c r="D907" t="s">
        <v>287</v>
      </c>
      <c r="E907" t="s">
        <v>830</v>
      </c>
      <c r="F907" t="s">
        <v>70</v>
      </c>
      <c r="G907" t="s">
        <v>1321</v>
      </c>
      <c r="H907">
        <v>1359804</v>
      </c>
      <c r="I907" t="s">
        <v>873</v>
      </c>
      <c r="J907" s="14">
        <v>46097</v>
      </c>
      <c r="K907" t="s">
        <v>1217</v>
      </c>
      <c r="L907" t="e">
        <f>VLOOKUP(H907,Sheet1!H:H,1,0)</f>
        <v>#N/A</v>
      </c>
    </row>
    <row r="908" spans="1:12">
      <c r="A908" t="s">
        <v>1209</v>
      </c>
      <c r="B908" t="s">
        <v>293</v>
      </c>
      <c r="C908" t="s">
        <v>210</v>
      </c>
      <c r="D908" t="s">
        <v>287</v>
      </c>
      <c r="E908" t="s">
        <v>830</v>
      </c>
      <c r="F908" t="s">
        <v>70</v>
      </c>
      <c r="G908" t="s">
        <v>1322</v>
      </c>
      <c r="H908">
        <v>1283804</v>
      </c>
      <c r="I908" t="s">
        <v>308</v>
      </c>
      <c r="J908" s="14">
        <v>45170</v>
      </c>
      <c r="K908" t="s">
        <v>1217</v>
      </c>
      <c r="L908" t="e">
        <f>VLOOKUP(H908,Sheet1!H:H,1,0)</f>
        <v>#N/A</v>
      </c>
    </row>
    <row r="909" spans="1:12">
      <c r="A909" t="s">
        <v>1209</v>
      </c>
      <c r="B909" t="s">
        <v>293</v>
      </c>
      <c r="C909" t="s">
        <v>210</v>
      </c>
      <c r="D909" t="s">
        <v>211</v>
      </c>
      <c r="E909" t="s">
        <v>1309</v>
      </c>
      <c r="F909" t="s">
        <v>70</v>
      </c>
      <c r="G909" t="s">
        <v>1323</v>
      </c>
      <c r="H909">
        <v>1160904</v>
      </c>
      <c r="I909" t="s">
        <v>222</v>
      </c>
      <c r="J909" s="14">
        <v>43405</v>
      </c>
      <c r="K909" t="s">
        <v>1311</v>
      </c>
      <c r="L909" t="e">
        <f>VLOOKUP(H909,Sheet1!H:H,1,0)</f>
        <v>#N/A</v>
      </c>
    </row>
    <row r="910" spans="1:12">
      <c r="A910" t="s">
        <v>1209</v>
      </c>
      <c r="B910" t="s">
        <v>293</v>
      </c>
      <c r="C910" t="s">
        <v>210</v>
      </c>
      <c r="D910" t="s">
        <v>211</v>
      </c>
      <c r="E910" t="s">
        <v>1309</v>
      </c>
      <c r="F910" t="s">
        <v>70</v>
      </c>
      <c r="G910" t="s">
        <v>1324</v>
      </c>
      <c r="H910">
        <v>1307904</v>
      </c>
      <c r="I910" t="s">
        <v>214</v>
      </c>
      <c r="J910" s="14">
        <v>45779</v>
      </c>
      <c r="K910" t="s">
        <v>1311</v>
      </c>
      <c r="L910" t="e">
        <f>VLOOKUP(H910,Sheet1!H:H,1,0)</f>
        <v>#N/A</v>
      </c>
    </row>
    <row r="911" spans="1:12">
      <c r="A911" t="s">
        <v>1209</v>
      </c>
      <c r="B911" t="s">
        <v>293</v>
      </c>
      <c r="C911" t="s">
        <v>210</v>
      </c>
      <c r="D911" t="s">
        <v>211</v>
      </c>
      <c r="E911" t="s">
        <v>1309</v>
      </c>
      <c r="F911" t="s">
        <v>70</v>
      </c>
      <c r="G911" t="s">
        <v>1325</v>
      </c>
      <c r="H911">
        <v>1328704</v>
      </c>
      <c r="I911" t="s">
        <v>220</v>
      </c>
      <c r="J911" s="14">
        <v>45826</v>
      </c>
      <c r="K911" t="s">
        <v>1311</v>
      </c>
      <c r="L911" t="e">
        <f>VLOOKUP(H911,Sheet1!H:H,1,0)</f>
        <v>#N/A</v>
      </c>
    </row>
    <row r="912" spans="1:12">
      <c r="A912" t="s">
        <v>1209</v>
      </c>
      <c r="B912" t="s">
        <v>293</v>
      </c>
      <c r="C912" t="s">
        <v>210</v>
      </c>
      <c r="D912" t="s">
        <v>211</v>
      </c>
      <c r="E912" t="s">
        <v>1309</v>
      </c>
      <c r="F912" t="s">
        <v>70</v>
      </c>
      <c r="G912" t="s">
        <v>1326</v>
      </c>
      <c r="H912">
        <v>1222604</v>
      </c>
      <c r="I912" t="s">
        <v>214</v>
      </c>
      <c r="J912" s="14">
        <v>44319</v>
      </c>
      <c r="K912" t="s">
        <v>1311</v>
      </c>
      <c r="L912" t="e">
        <f>VLOOKUP(H912,Sheet1!H:H,1,0)</f>
        <v>#N/A</v>
      </c>
    </row>
    <row r="913" spans="1:12">
      <c r="A913" t="s">
        <v>1209</v>
      </c>
      <c r="B913" t="s">
        <v>293</v>
      </c>
      <c r="C913" t="s">
        <v>210</v>
      </c>
      <c r="D913" t="s">
        <v>211</v>
      </c>
      <c r="E913" t="s">
        <v>1309</v>
      </c>
      <c r="F913" t="s">
        <v>70</v>
      </c>
      <c r="G913" t="s">
        <v>1327</v>
      </c>
      <c r="H913">
        <v>1323504</v>
      </c>
      <c r="I913" t="s">
        <v>214</v>
      </c>
      <c r="J913" s="14">
        <v>45748</v>
      </c>
      <c r="K913" t="s">
        <v>1311</v>
      </c>
      <c r="L913" t="e">
        <f>VLOOKUP(H913,Sheet1!H:H,1,0)</f>
        <v>#N/A</v>
      </c>
    </row>
    <row r="914" spans="1:12">
      <c r="A914" t="s">
        <v>1209</v>
      </c>
      <c r="B914" t="s">
        <v>293</v>
      </c>
      <c r="C914" t="s">
        <v>210</v>
      </c>
      <c r="D914" t="s">
        <v>211</v>
      </c>
      <c r="E914" t="s">
        <v>1309</v>
      </c>
      <c r="F914" t="s">
        <v>70</v>
      </c>
      <c r="G914" t="s">
        <v>1328</v>
      </c>
      <c r="H914">
        <v>1126704</v>
      </c>
      <c r="I914" t="s">
        <v>243</v>
      </c>
      <c r="J914" s="14">
        <v>42635</v>
      </c>
      <c r="K914" t="s">
        <v>1311</v>
      </c>
      <c r="L914" t="e">
        <f>VLOOKUP(H914,Sheet1!H:H,1,0)</f>
        <v>#N/A</v>
      </c>
    </row>
    <row r="915" spans="1:12">
      <c r="A915" t="s">
        <v>1209</v>
      </c>
      <c r="B915" t="s">
        <v>293</v>
      </c>
      <c r="C915" t="s">
        <v>210</v>
      </c>
      <c r="D915" t="s">
        <v>211</v>
      </c>
      <c r="E915" t="s">
        <v>1309</v>
      </c>
      <c r="F915" t="s">
        <v>70</v>
      </c>
      <c r="G915" t="s">
        <v>1329</v>
      </c>
      <c r="H915">
        <v>1325304</v>
      </c>
      <c r="I915" t="s">
        <v>220</v>
      </c>
      <c r="J915" s="14">
        <v>45614</v>
      </c>
      <c r="K915" t="s">
        <v>1311</v>
      </c>
      <c r="L915" t="e">
        <f>VLOOKUP(H915,Sheet1!H:H,1,0)</f>
        <v>#N/A</v>
      </c>
    </row>
    <row r="916" spans="1:12">
      <c r="A916" t="s">
        <v>1209</v>
      </c>
      <c r="B916" t="s">
        <v>293</v>
      </c>
      <c r="C916" t="s">
        <v>210</v>
      </c>
      <c r="D916" t="s">
        <v>211</v>
      </c>
      <c r="E916" t="s">
        <v>1309</v>
      </c>
      <c r="F916" t="s">
        <v>70</v>
      </c>
      <c r="G916" t="s">
        <v>1330</v>
      </c>
      <c r="H916">
        <v>1333304</v>
      </c>
      <c r="I916" t="s">
        <v>214</v>
      </c>
      <c r="J916" s="14">
        <v>45748</v>
      </c>
      <c r="K916" t="s">
        <v>1311</v>
      </c>
      <c r="L916" t="e">
        <f>VLOOKUP(H916,Sheet1!H:H,1,0)</f>
        <v>#N/A</v>
      </c>
    </row>
    <row r="917" spans="1:12">
      <c r="A917" t="s">
        <v>1209</v>
      </c>
      <c r="B917" t="s">
        <v>324</v>
      </c>
      <c r="C917" t="s">
        <v>210</v>
      </c>
      <c r="D917" t="s">
        <v>211</v>
      </c>
      <c r="E917" t="s">
        <v>1331</v>
      </c>
      <c r="F917" t="s">
        <v>1332</v>
      </c>
      <c r="G917" t="s">
        <v>1333</v>
      </c>
      <c r="H917">
        <v>1132404</v>
      </c>
      <c r="I917" t="s">
        <v>617</v>
      </c>
      <c r="J917" s="14">
        <v>42695</v>
      </c>
      <c r="K917" t="s">
        <v>1334</v>
      </c>
      <c r="L917" t="e">
        <f>VLOOKUP(H917,Sheet1!H:H,1,0)</f>
        <v>#N/A</v>
      </c>
    </row>
    <row r="918" spans="1:12">
      <c r="A918" t="s">
        <v>1209</v>
      </c>
      <c r="B918" t="s">
        <v>324</v>
      </c>
      <c r="C918" t="s">
        <v>210</v>
      </c>
      <c r="D918" t="s">
        <v>211</v>
      </c>
      <c r="E918" t="s">
        <v>1331</v>
      </c>
      <c r="F918" t="s">
        <v>1332</v>
      </c>
      <c r="G918" t="s">
        <v>1335</v>
      </c>
      <c r="H918">
        <v>1338904</v>
      </c>
      <c r="I918" t="s">
        <v>214</v>
      </c>
      <c r="J918" s="14">
        <v>45901</v>
      </c>
      <c r="K918" t="s">
        <v>1334</v>
      </c>
      <c r="L918" t="e">
        <f>VLOOKUP(H918,Sheet1!H:H,1,0)</f>
        <v>#N/A</v>
      </c>
    </row>
    <row r="919" spans="1:12">
      <c r="A919" t="s">
        <v>1209</v>
      </c>
      <c r="B919" t="s">
        <v>324</v>
      </c>
      <c r="C919" t="s">
        <v>210</v>
      </c>
      <c r="D919" t="s">
        <v>211</v>
      </c>
      <c r="E919" t="s">
        <v>1331</v>
      </c>
      <c r="F919" t="s">
        <v>1332</v>
      </c>
      <c r="G919" t="s">
        <v>1336</v>
      </c>
      <c r="H919">
        <v>1356704</v>
      </c>
      <c r="I919" t="s">
        <v>220</v>
      </c>
      <c r="J919" s="14">
        <v>45999</v>
      </c>
      <c r="K919" t="s">
        <v>1334</v>
      </c>
      <c r="L919" t="e">
        <f>VLOOKUP(H919,Sheet1!H:H,1,0)</f>
        <v>#N/A</v>
      </c>
    </row>
    <row r="920" spans="1:12">
      <c r="A920" t="s">
        <v>1209</v>
      </c>
      <c r="B920" t="s">
        <v>324</v>
      </c>
      <c r="C920" t="s">
        <v>429</v>
      </c>
      <c r="D920" t="s">
        <v>211</v>
      </c>
      <c r="E920" t="s">
        <v>1331</v>
      </c>
      <c r="F920" t="s">
        <v>1332</v>
      </c>
      <c r="G920" t="s">
        <v>1337</v>
      </c>
      <c r="H920">
        <v>1268904</v>
      </c>
      <c r="I920" t="s">
        <v>220</v>
      </c>
      <c r="J920" s="14">
        <v>45246</v>
      </c>
      <c r="K920" t="s">
        <v>1334</v>
      </c>
      <c r="L920" t="e">
        <f>VLOOKUP(H920,Sheet1!H:H,1,0)</f>
        <v>#N/A</v>
      </c>
    </row>
    <row r="921" spans="1:12">
      <c r="A921" t="s">
        <v>1209</v>
      </c>
      <c r="B921" t="s">
        <v>324</v>
      </c>
      <c r="C921" t="s">
        <v>210</v>
      </c>
      <c r="D921" t="s">
        <v>211</v>
      </c>
      <c r="E921" t="s">
        <v>1331</v>
      </c>
      <c r="F921" t="s">
        <v>1332</v>
      </c>
      <c r="G921" t="s">
        <v>1338</v>
      </c>
      <c r="H921">
        <v>1340104</v>
      </c>
      <c r="I921" t="s">
        <v>214</v>
      </c>
      <c r="J921" s="14">
        <v>45916</v>
      </c>
      <c r="K921" t="s">
        <v>1334</v>
      </c>
      <c r="L921" t="e">
        <f>VLOOKUP(H921,Sheet1!H:H,1,0)</f>
        <v>#N/A</v>
      </c>
    </row>
    <row r="922" spans="1:12">
      <c r="A922" t="s">
        <v>1209</v>
      </c>
      <c r="B922" t="s">
        <v>324</v>
      </c>
      <c r="C922" t="s">
        <v>210</v>
      </c>
      <c r="D922" t="s">
        <v>211</v>
      </c>
      <c r="E922" t="s">
        <v>1331</v>
      </c>
      <c r="F922" t="s">
        <v>1332</v>
      </c>
      <c r="G922" t="s">
        <v>1339</v>
      </c>
      <c r="H922">
        <v>1358804</v>
      </c>
      <c r="I922" t="s">
        <v>214</v>
      </c>
      <c r="J922" s="14">
        <v>46083</v>
      </c>
      <c r="K922" t="s">
        <v>1334</v>
      </c>
      <c r="L922" t="e">
        <f>VLOOKUP(H922,Sheet1!H:H,1,0)</f>
        <v>#N/A</v>
      </c>
    </row>
    <row r="923" spans="1:12">
      <c r="A923" t="s">
        <v>1209</v>
      </c>
      <c r="B923" t="s">
        <v>324</v>
      </c>
      <c r="C923" t="s">
        <v>210</v>
      </c>
      <c r="D923" t="s">
        <v>211</v>
      </c>
      <c r="E923" t="s">
        <v>1331</v>
      </c>
      <c r="F923" t="s">
        <v>1332</v>
      </c>
      <c r="G923" t="s">
        <v>1340</v>
      </c>
      <c r="H923">
        <v>1251304</v>
      </c>
      <c r="I923" t="s">
        <v>422</v>
      </c>
      <c r="J923" s="14">
        <v>44725</v>
      </c>
      <c r="K923" t="s">
        <v>1334</v>
      </c>
      <c r="L923" t="e">
        <f>VLOOKUP(H923,Sheet1!H:H,1,0)</f>
        <v>#N/A</v>
      </c>
    </row>
    <row r="924" spans="1:12">
      <c r="A924" t="s">
        <v>1209</v>
      </c>
      <c r="B924" t="s">
        <v>324</v>
      </c>
      <c r="C924" t="s">
        <v>210</v>
      </c>
      <c r="D924" t="s">
        <v>211</v>
      </c>
      <c r="E924" t="s">
        <v>1331</v>
      </c>
      <c r="F924" t="s">
        <v>1332</v>
      </c>
      <c r="G924" t="s">
        <v>1341</v>
      </c>
      <c r="H924">
        <v>1263304</v>
      </c>
      <c r="I924" t="s">
        <v>214</v>
      </c>
      <c r="J924" s="14">
        <v>45093</v>
      </c>
      <c r="K924" t="s">
        <v>1334</v>
      </c>
      <c r="L924" t="e">
        <f>VLOOKUP(H924,Sheet1!H:H,1,0)</f>
        <v>#N/A</v>
      </c>
    </row>
    <row r="925" spans="1:12">
      <c r="A925" t="s">
        <v>1209</v>
      </c>
      <c r="B925" t="s">
        <v>324</v>
      </c>
      <c r="C925" t="s">
        <v>210</v>
      </c>
      <c r="D925" t="s">
        <v>211</v>
      </c>
      <c r="E925" t="s">
        <v>1331</v>
      </c>
      <c r="F925" t="s">
        <v>1332</v>
      </c>
      <c r="G925" t="s">
        <v>1342</v>
      </c>
      <c r="H925">
        <v>1201904</v>
      </c>
      <c r="I925" t="s">
        <v>853</v>
      </c>
      <c r="J925" s="14">
        <v>43710</v>
      </c>
      <c r="K925" t="s">
        <v>1334</v>
      </c>
      <c r="L925" t="e">
        <f>VLOOKUP(H925,Sheet1!H:H,1,0)</f>
        <v>#N/A</v>
      </c>
    </row>
    <row r="926" spans="1:12">
      <c r="A926" t="s">
        <v>1209</v>
      </c>
      <c r="B926" t="s">
        <v>324</v>
      </c>
      <c r="C926" t="s">
        <v>210</v>
      </c>
      <c r="D926" t="s">
        <v>211</v>
      </c>
      <c r="E926" t="s">
        <v>1331</v>
      </c>
      <c r="F926" t="s">
        <v>1332</v>
      </c>
      <c r="G926" t="s">
        <v>1343</v>
      </c>
      <c r="H926">
        <v>1340904</v>
      </c>
      <c r="I926" t="s">
        <v>214</v>
      </c>
      <c r="J926" s="14">
        <v>45916</v>
      </c>
      <c r="K926" t="s">
        <v>1334</v>
      </c>
      <c r="L926" t="e">
        <f>VLOOKUP(H926,Sheet1!H:H,1,0)</f>
        <v>#N/A</v>
      </c>
    </row>
    <row r="927" spans="1:12">
      <c r="A927" t="s">
        <v>1209</v>
      </c>
      <c r="B927" t="s">
        <v>324</v>
      </c>
      <c r="C927" t="s">
        <v>210</v>
      </c>
      <c r="D927" t="s">
        <v>211</v>
      </c>
      <c r="E927" t="s">
        <v>1331</v>
      </c>
      <c r="F927" t="s">
        <v>1332</v>
      </c>
      <c r="G927" t="s">
        <v>1344</v>
      </c>
      <c r="H927">
        <v>1306104</v>
      </c>
      <c r="I927" t="s">
        <v>214</v>
      </c>
      <c r="J927" s="14">
        <v>45455</v>
      </c>
      <c r="K927" t="s">
        <v>1334</v>
      </c>
      <c r="L927" t="e">
        <f>VLOOKUP(H927,Sheet1!H:H,1,0)</f>
        <v>#N/A</v>
      </c>
    </row>
    <row r="928" spans="1:12">
      <c r="A928" t="s">
        <v>1209</v>
      </c>
      <c r="B928" t="s">
        <v>324</v>
      </c>
      <c r="C928" t="s">
        <v>210</v>
      </c>
      <c r="D928" t="s">
        <v>211</v>
      </c>
      <c r="E928" t="s">
        <v>1331</v>
      </c>
      <c r="F928" t="s">
        <v>1332</v>
      </c>
      <c r="G928" t="s">
        <v>1345</v>
      </c>
      <c r="H928">
        <v>1284104</v>
      </c>
      <c r="I928" t="s">
        <v>220</v>
      </c>
      <c r="J928" s="14">
        <v>45187</v>
      </c>
      <c r="K928" t="s">
        <v>1334</v>
      </c>
      <c r="L928" t="e">
        <f>VLOOKUP(H928,Sheet1!H:H,1,0)</f>
        <v>#N/A</v>
      </c>
    </row>
    <row r="929" spans="1:12">
      <c r="A929" t="s">
        <v>1209</v>
      </c>
      <c r="B929" t="s">
        <v>324</v>
      </c>
      <c r="C929" t="s">
        <v>210</v>
      </c>
      <c r="D929" t="s">
        <v>211</v>
      </c>
      <c r="E929" t="s">
        <v>1331</v>
      </c>
      <c r="F929" t="s">
        <v>1332</v>
      </c>
      <c r="G929" t="s">
        <v>1346</v>
      </c>
      <c r="H929">
        <v>1350904</v>
      </c>
      <c r="I929" t="s">
        <v>214</v>
      </c>
      <c r="J929" s="14">
        <v>45999</v>
      </c>
      <c r="K929" t="s">
        <v>1334</v>
      </c>
      <c r="L929" t="e">
        <f>VLOOKUP(H929,Sheet1!H:H,1,0)</f>
        <v>#N/A</v>
      </c>
    </row>
    <row r="930" spans="1:12">
      <c r="A930" t="s">
        <v>1209</v>
      </c>
      <c r="B930" t="s">
        <v>324</v>
      </c>
      <c r="C930" t="s">
        <v>210</v>
      </c>
      <c r="D930" t="s">
        <v>211</v>
      </c>
      <c r="E930" t="s">
        <v>1331</v>
      </c>
      <c r="F930" t="s">
        <v>1332</v>
      </c>
      <c r="G930" t="s">
        <v>1347</v>
      </c>
      <c r="H930">
        <v>1341304</v>
      </c>
      <c r="I930" t="s">
        <v>214</v>
      </c>
      <c r="J930" s="14">
        <v>45916</v>
      </c>
      <c r="K930" t="s">
        <v>1334</v>
      </c>
      <c r="L930" t="e">
        <f>VLOOKUP(H930,Sheet1!H:H,1,0)</f>
        <v>#N/A</v>
      </c>
    </row>
    <row r="931" spans="1:12">
      <c r="A931" t="s">
        <v>1209</v>
      </c>
      <c r="B931" t="s">
        <v>324</v>
      </c>
      <c r="C931" t="s">
        <v>210</v>
      </c>
      <c r="D931" t="s">
        <v>211</v>
      </c>
      <c r="E931" t="s">
        <v>1331</v>
      </c>
      <c r="F931" t="s">
        <v>1332</v>
      </c>
      <c r="G931" t="s">
        <v>1348</v>
      </c>
      <c r="H931">
        <v>1247204</v>
      </c>
      <c r="I931" t="s">
        <v>214</v>
      </c>
      <c r="J931" s="14">
        <v>44683</v>
      </c>
      <c r="K931" t="s">
        <v>1334</v>
      </c>
      <c r="L931" t="e">
        <f>VLOOKUP(H931,Sheet1!H:H,1,0)</f>
        <v>#N/A</v>
      </c>
    </row>
    <row r="932" spans="1:12">
      <c r="A932" t="s">
        <v>1209</v>
      </c>
      <c r="B932" t="s">
        <v>324</v>
      </c>
      <c r="C932" t="s">
        <v>210</v>
      </c>
      <c r="D932" t="s">
        <v>211</v>
      </c>
      <c r="E932" t="s">
        <v>1331</v>
      </c>
      <c r="F932" t="s">
        <v>1332</v>
      </c>
      <c r="G932" t="s">
        <v>1349</v>
      </c>
      <c r="H932">
        <v>1308704</v>
      </c>
      <c r="I932" t="s">
        <v>424</v>
      </c>
      <c r="J932" s="14">
        <v>45460</v>
      </c>
      <c r="K932" t="s">
        <v>1334</v>
      </c>
      <c r="L932" t="e">
        <f>VLOOKUP(H932,Sheet1!H:H,1,0)</f>
        <v>#N/A</v>
      </c>
    </row>
    <row r="933" spans="1:12">
      <c r="A933" t="s">
        <v>1209</v>
      </c>
      <c r="B933" t="s">
        <v>324</v>
      </c>
      <c r="C933" t="s">
        <v>210</v>
      </c>
      <c r="D933" t="s">
        <v>211</v>
      </c>
      <c r="E933" t="s">
        <v>1331</v>
      </c>
      <c r="F933" t="s">
        <v>1332</v>
      </c>
      <c r="G933" t="s">
        <v>1350</v>
      </c>
      <c r="H933">
        <v>1346804</v>
      </c>
      <c r="I933" t="s">
        <v>214</v>
      </c>
      <c r="J933" s="14">
        <v>45964</v>
      </c>
      <c r="K933" t="s">
        <v>1334</v>
      </c>
      <c r="L933" t="e">
        <f>VLOOKUP(H933,Sheet1!H:H,1,0)</f>
        <v>#N/A</v>
      </c>
    </row>
    <row r="934" spans="1:12">
      <c r="A934" t="s">
        <v>1209</v>
      </c>
      <c r="B934" t="s">
        <v>324</v>
      </c>
      <c r="C934" t="s">
        <v>210</v>
      </c>
      <c r="D934" t="s">
        <v>211</v>
      </c>
      <c r="E934" t="s">
        <v>1331</v>
      </c>
      <c r="F934" t="s">
        <v>1332</v>
      </c>
      <c r="G934" t="s">
        <v>1351</v>
      </c>
      <c r="H934">
        <v>1228904</v>
      </c>
      <c r="I934" t="s">
        <v>422</v>
      </c>
      <c r="J934" s="14">
        <v>44440</v>
      </c>
      <c r="K934" t="s">
        <v>1334</v>
      </c>
      <c r="L934" t="e">
        <f>VLOOKUP(H934,Sheet1!H:H,1,0)</f>
        <v>#N/A</v>
      </c>
    </row>
    <row r="935" spans="1:12">
      <c r="A935" t="s">
        <v>1209</v>
      </c>
      <c r="B935" t="s">
        <v>324</v>
      </c>
      <c r="C935" t="s">
        <v>210</v>
      </c>
      <c r="D935" t="s">
        <v>211</v>
      </c>
      <c r="E935" t="s">
        <v>1331</v>
      </c>
      <c r="F935" t="s">
        <v>1332</v>
      </c>
      <c r="G935" t="s">
        <v>1352</v>
      </c>
      <c r="H935">
        <v>1358904</v>
      </c>
      <c r="I935" t="s">
        <v>214</v>
      </c>
      <c r="J935" s="14">
        <v>46083</v>
      </c>
      <c r="K935" t="s">
        <v>1334</v>
      </c>
      <c r="L935" t="e">
        <f>VLOOKUP(H935,Sheet1!H:H,1,0)</f>
        <v>#N/A</v>
      </c>
    </row>
    <row r="936" spans="1:12">
      <c r="A936" t="s">
        <v>1209</v>
      </c>
      <c r="B936" t="s">
        <v>324</v>
      </c>
      <c r="C936" t="s">
        <v>210</v>
      </c>
      <c r="D936" t="s">
        <v>211</v>
      </c>
      <c r="E936" t="s">
        <v>1331</v>
      </c>
      <c r="F936" t="s">
        <v>1332</v>
      </c>
      <c r="G936" t="s">
        <v>1353</v>
      </c>
      <c r="H936">
        <v>1339604</v>
      </c>
      <c r="I936" t="s">
        <v>214</v>
      </c>
      <c r="J936" s="14">
        <v>45916</v>
      </c>
      <c r="K936" t="s">
        <v>1334</v>
      </c>
      <c r="L936" t="e">
        <f>VLOOKUP(H936,Sheet1!H:H,1,0)</f>
        <v>#N/A</v>
      </c>
    </row>
    <row r="937" spans="1:12">
      <c r="A937" t="s">
        <v>1209</v>
      </c>
      <c r="B937" t="s">
        <v>324</v>
      </c>
      <c r="C937" t="s">
        <v>210</v>
      </c>
      <c r="D937" t="s">
        <v>211</v>
      </c>
      <c r="E937" t="s">
        <v>1331</v>
      </c>
      <c r="F937" t="s">
        <v>1332</v>
      </c>
      <c r="G937" t="s">
        <v>1354</v>
      </c>
      <c r="H937">
        <v>1346204</v>
      </c>
      <c r="I937" t="s">
        <v>214</v>
      </c>
      <c r="J937" s="14">
        <v>45964</v>
      </c>
      <c r="K937" t="s">
        <v>1334</v>
      </c>
      <c r="L937" t="e">
        <f>VLOOKUP(H937,Sheet1!H:H,1,0)</f>
        <v>#N/A</v>
      </c>
    </row>
    <row r="938" spans="1:12">
      <c r="A938" t="s">
        <v>1209</v>
      </c>
      <c r="B938" t="s">
        <v>324</v>
      </c>
      <c r="C938" t="s">
        <v>210</v>
      </c>
      <c r="D938" t="s">
        <v>211</v>
      </c>
      <c r="E938" t="s">
        <v>1331</v>
      </c>
      <c r="F938" t="s">
        <v>1332</v>
      </c>
      <c r="G938" t="s">
        <v>1355</v>
      </c>
      <c r="H938">
        <v>1278204</v>
      </c>
      <c r="I938" t="s">
        <v>214</v>
      </c>
      <c r="J938" s="14">
        <v>45093</v>
      </c>
      <c r="K938" t="s">
        <v>1334</v>
      </c>
      <c r="L938" t="e">
        <f>VLOOKUP(H938,Sheet1!H:H,1,0)</f>
        <v>#N/A</v>
      </c>
    </row>
    <row r="939" spans="1:12">
      <c r="A939" t="s">
        <v>1209</v>
      </c>
      <c r="B939" t="s">
        <v>324</v>
      </c>
      <c r="C939" t="s">
        <v>210</v>
      </c>
      <c r="D939" t="s">
        <v>211</v>
      </c>
      <c r="E939" t="s">
        <v>1331</v>
      </c>
      <c r="F939" t="s">
        <v>1332</v>
      </c>
      <c r="G939" t="s">
        <v>1356</v>
      </c>
      <c r="H939">
        <v>1357404</v>
      </c>
      <c r="I939" t="s">
        <v>214</v>
      </c>
      <c r="J939" s="14">
        <v>45999</v>
      </c>
      <c r="K939" t="s">
        <v>1334</v>
      </c>
      <c r="L939" t="e">
        <f>VLOOKUP(H939,Sheet1!H:H,1,0)</f>
        <v>#N/A</v>
      </c>
    </row>
    <row r="940" spans="1:12">
      <c r="A940" t="s">
        <v>1209</v>
      </c>
      <c r="B940" t="s">
        <v>324</v>
      </c>
      <c r="C940" t="s">
        <v>210</v>
      </c>
      <c r="D940" t="s">
        <v>211</v>
      </c>
      <c r="E940" t="s">
        <v>1331</v>
      </c>
      <c r="F940" t="s">
        <v>1332</v>
      </c>
      <c r="G940" t="s">
        <v>1357</v>
      </c>
      <c r="H940">
        <v>1338704</v>
      </c>
      <c r="I940" t="s">
        <v>214</v>
      </c>
      <c r="J940" s="14">
        <v>45901</v>
      </c>
      <c r="K940" t="s">
        <v>1334</v>
      </c>
      <c r="L940" t="e">
        <f>VLOOKUP(H940,Sheet1!H:H,1,0)</f>
        <v>#N/A</v>
      </c>
    </row>
    <row r="941" spans="1:12">
      <c r="A941" t="s">
        <v>1209</v>
      </c>
      <c r="B941" t="s">
        <v>324</v>
      </c>
      <c r="C941" t="s">
        <v>210</v>
      </c>
      <c r="D941" t="s">
        <v>211</v>
      </c>
      <c r="E941" t="s">
        <v>1331</v>
      </c>
      <c r="F941" t="s">
        <v>1332</v>
      </c>
      <c r="G941" t="s">
        <v>1358</v>
      </c>
      <c r="H941">
        <v>1236904</v>
      </c>
      <c r="I941" t="s">
        <v>214</v>
      </c>
      <c r="J941" s="14">
        <v>45573</v>
      </c>
      <c r="K941" t="s">
        <v>1334</v>
      </c>
      <c r="L941" t="e">
        <f>VLOOKUP(H941,Sheet1!H:H,1,0)</f>
        <v>#N/A</v>
      </c>
    </row>
    <row r="942" spans="1:12">
      <c r="A942" t="s">
        <v>1209</v>
      </c>
      <c r="B942" t="s">
        <v>324</v>
      </c>
      <c r="C942" t="s">
        <v>210</v>
      </c>
      <c r="D942" t="s">
        <v>211</v>
      </c>
      <c r="E942" t="s">
        <v>1331</v>
      </c>
      <c r="F942" t="s">
        <v>1332</v>
      </c>
      <c r="G942" t="s">
        <v>1359</v>
      </c>
      <c r="H942">
        <v>1058804</v>
      </c>
      <c r="I942" t="s">
        <v>240</v>
      </c>
      <c r="J942" s="14">
        <v>41242</v>
      </c>
      <c r="K942" t="s">
        <v>1334</v>
      </c>
      <c r="L942" t="e">
        <f>VLOOKUP(H942,Sheet1!H:H,1,0)</f>
        <v>#N/A</v>
      </c>
    </row>
    <row r="943" spans="1:12">
      <c r="A943" t="s">
        <v>1209</v>
      </c>
      <c r="B943" t="s">
        <v>324</v>
      </c>
      <c r="C943" t="s">
        <v>210</v>
      </c>
      <c r="D943" t="s">
        <v>211</v>
      </c>
      <c r="E943" t="s">
        <v>1331</v>
      </c>
      <c r="F943" t="s">
        <v>1332</v>
      </c>
      <c r="G943" t="s">
        <v>1360</v>
      </c>
      <c r="H943">
        <v>1339404</v>
      </c>
      <c r="I943" t="s">
        <v>214</v>
      </c>
      <c r="J943" s="14">
        <v>45901</v>
      </c>
      <c r="K943" t="s">
        <v>1334</v>
      </c>
      <c r="L943" t="e">
        <f>VLOOKUP(H943,Sheet1!H:H,1,0)</f>
        <v>#N/A</v>
      </c>
    </row>
    <row r="944" spans="1:12">
      <c r="A944" t="s">
        <v>1209</v>
      </c>
      <c r="B944" t="s">
        <v>324</v>
      </c>
      <c r="C944" t="s">
        <v>210</v>
      </c>
      <c r="D944" t="s">
        <v>211</v>
      </c>
      <c r="E944" t="s">
        <v>1331</v>
      </c>
      <c r="F944" t="s">
        <v>1332</v>
      </c>
      <c r="G944" t="s">
        <v>1361</v>
      </c>
      <c r="H944">
        <v>1338504</v>
      </c>
      <c r="I944" t="s">
        <v>214</v>
      </c>
      <c r="J944" s="14">
        <v>45901</v>
      </c>
      <c r="K944" t="s">
        <v>1334</v>
      </c>
      <c r="L944" t="e">
        <f>VLOOKUP(H944,Sheet1!H:H,1,0)</f>
        <v>#N/A</v>
      </c>
    </row>
    <row r="945" spans="1:12">
      <c r="A945" t="s">
        <v>1209</v>
      </c>
      <c r="B945" t="s">
        <v>324</v>
      </c>
      <c r="C945" t="s">
        <v>429</v>
      </c>
      <c r="D945" t="s">
        <v>211</v>
      </c>
      <c r="E945" t="s">
        <v>1331</v>
      </c>
      <c r="F945" t="s">
        <v>1332</v>
      </c>
      <c r="G945" t="s">
        <v>1362</v>
      </c>
      <c r="H945">
        <v>1276704</v>
      </c>
      <c r="I945" t="s">
        <v>220</v>
      </c>
      <c r="J945" s="14">
        <v>45078</v>
      </c>
      <c r="K945" t="s">
        <v>1334</v>
      </c>
      <c r="L945" t="e">
        <f>VLOOKUP(H945,Sheet1!H:H,1,0)</f>
        <v>#N/A</v>
      </c>
    </row>
    <row r="946" spans="1:12">
      <c r="A946" t="s">
        <v>1209</v>
      </c>
      <c r="B946" t="s">
        <v>324</v>
      </c>
      <c r="C946" t="s">
        <v>210</v>
      </c>
      <c r="D946" t="s">
        <v>211</v>
      </c>
      <c r="E946" t="s">
        <v>1331</v>
      </c>
      <c r="F946" t="s">
        <v>1332</v>
      </c>
      <c r="G946" t="s">
        <v>1363</v>
      </c>
      <c r="H946">
        <v>1259304</v>
      </c>
      <c r="I946" t="s">
        <v>214</v>
      </c>
      <c r="J946" s="14">
        <v>44866</v>
      </c>
      <c r="K946" t="s">
        <v>1334</v>
      </c>
      <c r="L946" t="e">
        <f>VLOOKUP(H946,Sheet1!H:H,1,0)</f>
        <v>#N/A</v>
      </c>
    </row>
    <row r="947" spans="1:12">
      <c r="A947" t="s">
        <v>1209</v>
      </c>
      <c r="B947" t="s">
        <v>324</v>
      </c>
      <c r="C947" t="s">
        <v>210</v>
      </c>
      <c r="D947" t="s">
        <v>211</v>
      </c>
      <c r="E947" t="s">
        <v>1331</v>
      </c>
      <c r="F947" t="s">
        <v>1332</v>
      </c>
      <c r="G947" t="s">
        <v>1364</v>
      </c>
      <c r="H947">
        <v>1318804</v>
      </c>
      <c r="I947" t="s">
        <v>214</v>
      </c>
      <c r="J947" s="14">
        <v>45600</v>
      </c>
      <c r="K947" t="s">
        <v>1334</v>
      </c>
      <c r="L947" t="e">
        <f>VLOOKUP(H947,Sheet1!H:H,1,0)</f>
        <v>#N/A</v>
      </c>
    </row>
    <row r="948" spans="1:12">
      <c r="A948" t="s">
        <v>1209</v>
      </c>
      <c r="B948" t="s">
        <v>324</v>
      </c>
      <c r="C948" t="s">
        <v>210</v>
      </c>
      <c r="D948" t="s">
        <v>211</v>
      </c>
      <c r="E948" t="s">
        <v>1331</v>
      </c>
      <c r="F948" t="s">
        <v>1332</v>
      </c>
      <c r="G948" t="s">
        <v>1365</v>
      </c>
      <c r="H948">
        <v>1331404</v>
      </c>
      <c r="I948" t="s">
        <v>220</v>
      </c>
      <c r="J948" s="14">
        <v>45916</v>
      </c>
      <c r="K948" t="s">
        <v>1334</v>
      </c>
      <c r="L948" t="e">
        <f>VLOOKUP(H948,Sheet1!H:H,1,0)</f>
        <v>#N/A</v>
      </c>
    </row>
    <row r="949" spans="1:12">
      <c r="A949" t="s">
        <v>1209</v>
      </c>
      <c r="B949" t="s">
        <v>324</v>
      </c>
      <c r="C949" t="s">
        <v>210</v>
      </c>
      <c r="D949" t="s">
        <v>211</v>
      </c>
      <c r="E949" t="s">
        <v>1331</v>
      </c>
      <c r="F949" t="s">
        <v>1332</v>
      </c>
      <c r="G949" t="s">
        <v>1366</v>
      </c>
      <c r="H949">
        <v>1221104</v>
      </c>
      <c r="I949" t="s">
        <v>458</v>
      </c>
      <c r="J949" s="14">
        <v>44181</v>
      </c>
      <c r="K949" t="s">
        <v>1334</v>
      </c>
      <c r="L949" t="e">
        <f>VLOOKUP(H949,Sheet1!H:H,1,0)</f>
        <v>#N/A</v>
      </c>
    </row>
    <row r="950" spans="1:12">
      <c r="A950" t="s">
        <v>1209</v>
      </c>
      <c r="B950" t="s">
        <v>324</v>
      </c>
      <c r="C950" t="s">
        <v>210</v>
      </c>
      <c r="D950" t="s">
        <v>211</v>
      </c>
      <c r="E950" t="s">
        <v>1331</v>
      </c>
      <c r="F950" t="s">
        <v>1332</v>
      </c>
      <c r="G950" t="s">
        <v>1367</v>
      </c>
      <c r="H950">
        <v>1201404</v>
      </c>
      <c r="I950" t="s">
        <v>890</v>
      </c>
      <c r="J950" s="14">
        <v>43693</v>
      </c>
      <c r="K950" t="s">
        <v>1334</v>
      </c>
      <c r="L950" t="e">
        <f>VLOOKUP(H950,Sheet1!H:H,1,0)</f>
        <v>#N/A</v>
      </c>
    </row>
    <row r="951" spans="1:12">
      <c r="A951" t="s">
        <v>1209</v>
      </c>
      <c r="B951" t="s">
        <v>324</v>
      </c>
      <c r="C951" t="s">
        <v>429</v>
      </c>
      <c r="D951" t="s">
        <v>211</v>
      </c>
      <c r="E951" t="s">
        <v>1331</v>
      </c>
      <c r="F951" t="s">
        <v>1332</v>
      </c>
      <c r="G951" t="s">
        <v>1368</v>
      </c>
      <c r="H951">
        <v>1133504</v>
      </c>
      <c r="I951" t="s">
        <v>490</v>
      </c>
      <c r="J951" s="14">
        <v>42698</v>
      </c>
      <c r="K951" t="s">
        <v>1334</v>
      </c>
      <c r="L951" t="e">
        <f>VLOOKUP(H951,Sheet1!H:H,1,0)</f>
        <v>#N/A</v>
      </c>
    </row>
    <row r="952" spans="1:12">
      <c r="A952" t="s">
        <v>1209</v>
      </c>
      <c r="B952" t="s">
        <v>324</v>
      </c>
      <c r="C952" t="s">
        <v>210</v>
      </c>
      <c r="D952" t="s">
        <v>211</v>
      </c>
      <c r="E952" t="s">
        <v>1331</v>
      </c>
      <c r="F952" t="s">
        <v>1332</v>
      </c>
      <c r="G952" t="s">
        <v>1369</v>
      </c>
      <c r="H952">
        <v>1238204</v>
      </c>
      <c r="I952" t="s">
        <v>214</v>
      </c>
      <c r="J952" s="14">
        <v>44872</v>
      </c>
      <c r="K952" t="s">
        <v>1334</v>
      </c>
      <c r="L952" t="e">
        <f>VLOOKUP(H952,Sheet1!H:H,1,0)</f>
        <v>#N/A</v>
      </c>
    </row>
    <row r="953" spans="1:12">
      <c r="A953" t="s">
        <v>1209</v>
      </c>
      <c r="B953" t="s">
        <v>324</v>
      </c>
      <c r="C953" t="s">
        <v>210</v>
      </c>
      <c r="D953" t="s">
        <v>211</v>
      </c>
      <c r="E953" t="s">
        <v>1331</v>
      </c>
      <c r="F953" t="s">
        <v>1332</v>
      </c>
      <c r="G953" t="s">
        <v>1370</v>
      </c>
      <c r="H953">
        <v>1192404</v>
      </c>
      <c r="I953" t="s">
        <v>422</v>
      </c>
      <c r="J953" s="14">
        <v>43540</v>
      </c>
      <c r="K953" t="s">
        <v>1334</v>
      </c>
      <c r="L953" t="e">
        <f>VLOOKUP(H953,Sheet1!H:H,1,0)</f>
        <v>#N/A</v>
      </c>
    </row>
    <row r="954" spans="1:12">
      <c r="A954" t="s">
        <v>1209</v>
      </c>
      <c r="B954" t="s">
        <v>324</v>
      </c>
      <c r="C954" t="s">
        <v>210</v>
      </c>
      <c r="D954" t="s">
        <v>211</v>
      </c>
      <c r="E954" t="s">
        <v>1331</v>
      </c>
      <c r="F954" t="s">
        <v>1332</v>
      </c>
      <c r="G954" t="s">
        <v>1371</v>
      </c>
      <c r="H954">
        <v>1280104</v>
      </c>
      <c r="I954" t="s">
        <v>214</v>
      </c>
      <c r="J954" s="14">
        <v>45170</v>
      </c>
      <c r="K954" t="s">
        <v>1334</v>
      </c>
      <c r="L954" t="e">
        <f>VLOOKUP(H954,Sheet1!H:H,1,0)</f>
        <v>#N/A</v>
      </c>
    </row>
    <row r="955" spans="1:12">
      <c r="A955" t="s">
        <v>1209</v>
      </c>
      <c r="B955" t="s">
        <v>324</v>
      </c>
      <c r="C955" t="s">
        <v>210</v>
      </c>
      <c r="D955" t="s">
        <v>211</v>
      </c>
      <c r="E955" t="s">
        <v>1331</v>
      </c>
      <c r="F955" t="s">
        <v>1332</v>
      </c>
      <c r="G955" t="s">
        <v>1372</v>
      </c>
      <c r="H955">
        <v>1345404</v>
      </c>
      <c r="I955" t="s">
        <v>214</v>
      </c>
      <c r="J955" s="14">
        <v>45964</v>
      </c>
      <c r="K955" t="s">
        <v>1334</v>
      </c>
      <c r="L955" t="e">
        <f>VLOOKUP(H955,Sheet1!H:H,1,0)</f>
        <v>#N/A</v>
      </c>
    </row>
    <row r="956" spans="1:12">
      <c r="A956" t="s">
        <v>1209</v>
      </c>
      <c r="B956" t="s">
        <v>324</v>
      </c>
      <c r="C956" t="s">
        <v>210</v>
      </c>
      <c r="D956" t="s">
        <v>211</v>
      </c>
      <c r="E956" t="s">
        <v>1331</v>
      </c>
      <c r="F956" t="s">
        <v>1332</v>
      </c>
      <c r="G956" t="s">
        <v>1373</v>
      </c>
      <c r="H956">
        <v>1343004</v>
      </c>
      <c r="I956" t="s">
        <v>214</v>
      </c>
      <c r="J956" s="14">
        <v>45943</v>
      </c>
      <c r="K956" t="s">
        <v>1334</v>
      </c>
      <c r="L956" t="e">
        <f>VLOOKUP(H956,Sheet1!H:H,1,0)</f>
        <v>#N/A</v>
      </c>
    </row>
    <row r="957" spans="1:12">
      <c r="A957" t="s">
        <v>1209</v>
      </c>
      <c r="B957" t="s">
        <v>324</v>
      </c>
      <c r="C957" t="s">
        <v>210</v>
      </c>
      <c r="D957" t="s">
        <v>211</v>
      </c>
      <c r="E957" t="s">
        <v>1331</v>
      </c>
      <c r="F957" t="s">
        <v>1332</v>
      </c>
      <c r="G957" t="s">
        <v>1374</v>
      </c>
      <c r="H957">
        <v>1314004</v>
      </c>
      <c r="I957" t="s">
        <v>220</v>
      </c>
      <c r="J957" s="14">
        <v>45548</v>
      </c>
      <c r="K957" t="s">
        <v>1334</v>
      </c>
      <c r="L957" t="e">
        <f>VLOOKUP(H957,Sheet1!H:H,1,0)</f>
        <v>#N/A</v>
      </c>
    </row>
    <row r="958" spans="1:12">
      <c r="A958" t="s">
        <v>1209</v>
      </c>
      <c r="B958" t="s">
        <v>324</v>
      </c>
      <c r="C958" t="s">
        <v>210</v>
      </c>
      <c r="D958" t="s">
        <v>211</v>
      </c>
      <c r="E958" t="s">
        <v>1331</v>
      </c>
      <c r="F958" t="s">
        <v>1332</v>
      </c>
      <c r="G958" t="s">
        <v>1375</v>
      </c>
      <c r="H958">
        <v>1253404</v>
      </c>
      <c r="I958" t="s">
        <v>638</v>
      </c>
      <c r="J958" s="14">
        <v>44743</v>
      </c>
      <c r="K958" t="s">
        <v>1334</v>
      </c>
      <c r="L958" t="e">
        <f>VLOOKUP(H958,Sheet1!H:H,1,0)</f>
        <v>#N/A</v>
      </c>
    </row>
    <row r="959" spans="1:12">
      <c r="A959" t="s">
        <v>1209</v>
      </c>
      <c r="B959" t="s">
        <v>324</v>
      </c>
      <c r="C959" t="s">
        <v>210</v>
      </c>
      <c r="D959" t="s">
        <v>211</v>
      </c>
      <c r="E959" t="s">
        <v>1331</v>
      </c>
      <c r="F959" t="s">
        <v>1332</v>
      </c>
      <c r="G959" t="s">
        <v>1376</v>
      </c>
      <c r="H959">
        <v>1343104</v>
      </c>
      <c r="I959" t="s">
        <v>214</v>
      </c>
      <c r="J959" s="14">
        <v>45943</v>
      </c>
      <c r="K959" t="s">
        <v>1334</v>
      </c>
      <c r="L959" t="e">
        <f>VLOOKUP(H959,Sheet1!H:H,1,0)</f>
        <v>#N/A</v>
      </c>
    </row>
    <row r="960" spans="1:12">
      <c r="A960" t="s">
        <v>1209</v>
      </c>
      <c r="B960" t="s">
        <v>324</v>
      </c>
      <c r="C960" t="s">
        <v>210</v>
      </c>
      <c r="D960" t="s">
        <v>211</v>
      </c>
      <c r="E960" t="s">
        <v>1331</v>
      </c>
      <c r="F960" t="s">
        <v>1332</v>
      </c>
      <c r="G960" t="s">
        <v>1377</v>
      </c>
      <c r="H960">
        <v>1315504</v>
      </c>
      <c r="I960" t="s">
        <v>214</v>
      </c>
      <c r="J960" s="14">
        <v>45573</v>
      </c>
      <c r="K960" t="s">
        <v>1334</v>
      </c>
      <c r="L960" t="e">
        <f>VLOOKUP(H960,Sheet1!H:H,1,0)</f>
        <v>#N/A</v>
      </c>
    </row>
    <row r="961" spans="1:12">
      <c r="A961" t="s">
        <v>1209</v>
      </c>
      <c r="B961" t="s">
        <v>324</v>
      </c>
      <c r="C961" t="s">
        <v>210</v>
      </c>
      <c r="D961" t="s">
        <v>211</v>
      </c>
      <c r="E961" t="s">
        <v>1331</v>
      </c>
      <c r="F961" t="s">
        <v>1332</v>
      </c>
      <c r="G961" t="s">
        <v>1378</v>
      </c>
      <c r="H961">
        <v>1319304</v>
      </c>
      <c r="I961" t="s">
        <v>214</v>
      </c>
      <c r="J961" s="14">
        <v>45600</v>
      </c>
      <c r="K961" t="s">
        <v>1334</v>
      </c>
      <c r="L961" t="e">
        <f>VLOOKUP(H961,Sheet1!H:H,1,0)</f>
        <v>#N/A</v>
      </c>
    </row>
    <row r="962" spans="1:12">
      <c r="A962" t="s">
        <v>1209</v>
      </c>
      <c r="B962" t="s">
        <v>324</v>
      </c>
      <c r="C962" t="s">
        <v>210</v>
      </c>
      <c r="D962" t="s">
        <v>211</v>
      </c>
      <c r="E962" t="s">
        <v>1331</v>
      </c>
      <c r="F962" t="s">
        <v>1332</v>
      </c>
      <c r="G962" t="s">
        <v>1379</v>
      </c>
      <c r="H962">
        <v>1329904</v>
      </c>
      <c r="I962" t="s">
        <v>220</v>
      </c>
      <c r="J962" s="14">
        <v>45628</v>
      </c>
      <c r="K962" t="s">
        <v>1334</v>
      </c>
      <c r="L962" t="e">
        <f>VLOOKUP(H962,Sheet1!H:H,1,0)</f>
        <v>#N/A</v>
      </c>
    </row>
    <row r="963" spans="1:12">
      <c r="A963" t="s">
        <v>1209</v>
      </c>
      <c r="B963" t="s">
        <v>324</v>
      </c>
      <c r="C963" t="s">
        <v>210</v>
      </c>
      <c r="D963" t="s">
        <v>211</v>
      </c>
      <c r="E963" t="s">
        <v>1331</v>
      </c>
      <c r="F963" t="s">
        <v>1332</v>
      </c>
      <c r="G963" t="s">
        <v>1380</v>
      </c>
      <c r="H963">
        <v>1304304</v>
      </c>
      <c r="I963" t="s">
        <v>220</v>
      </c>
      <c r="J963" s="14">
        <v>45414</v>
      </c>
      <c r="K963" t="s">
        <v>1334</v>
      </c>
      <c r="L963" t="e">
        <f>VLOOKUP(H963,Sheet1!H:H,1,0)</f>
        <v>#N/A</v>
      </c>
    </row>
    <row r="964" spans="1:12">
      <c r="A964" t="s">
        <v>1209</v>
      </c>
      <c r="B964" t="s">
        <v>324</v>
      </c>
      <c r="C964" t="s">
        <v>210</v>
      </c>
      <c r="D964" t="s">
        <v>287</v>
      </c>
      <c r="E964" t="s">
        <v>830</v>
      </c>
      <c r="F964" t="s">
        <v>1332</v>
      </c>
      <c r="G964" t="s">
        <v>1381</v>
      </c>
      <c r="H964">
        <v>1118704</v>
      </c>
      <c r="I964" t="s">
        <v>308</v>
      </c>
      <c r="J964" s="14">
        <v>42460</v>
      </c>
      <c r="K964" t="s">
        <v>1217</v>
      </c>
      <c r="L964" t="e">
        <f>VLOOKUP(H964,Sheet1!H:H,1,0)</f>
        <v>#N/A</v>
      </c>
    </row>
    <row r="965" spans="1:12">
      <c r="A965" t="s">
        <v>1209</v>
      </c>
      <c r="B965" t="s">
        <v>324</v>
      </c>
      <c r="C965" t="s">
        <v>210</v>
      </c>
      <c r="D965" t="s">
        <v>211</v>
      </c>
      <c r="E965" t="s">
        <v>1331</v>
      </c>
      <c r="F965" t="s">
        <v>1332</v>
      </c>
      <c r="G965" t="s">
        <v>1382</v>
      </c>
      <c r="H965">
        <v>1297104</v>
      </c>
      <c r="I965" t="s">
        <v>220</v>
      </c>
      <c r="J965" s="14">
        <v>45246</v>
      </c>
      <c r="K965" t="s">
        <v>1334</v>
      </c>
      <c r="L965" t="e">
        <f>VLOOKUP(H965,Sheet1!H:H,1,0)</f>
        <v>#N/A</v>
      </c>
    </row>
    <row r="966" spans="1:12">
      <c r="A966" t="s">
        <v>1209</v>
      </c>
      <c r="B966" t="s">
        <v>324</v>
      </c>
      <c r="C966" t="s">
        <v>210</v>
      </c>
      <c r="D966" t="s">
        <v>211</v>
      </c>
      <c r="E966" t="s">
        <v>1331</v>
      </c>
      <c r="F966" t="s">
        <v>1332</v>
      </c>
      <c r="G966" t="s">
        <v>1383</v>
      </c>
      <c r="H966">
        <v>1220704</v>
      </c>
      <c r="I966" t="s">
        <v>214</v>
      </c>
      <c r="J966" s="14">
        <v>44168</v>
      </c>
      <c r="K966" t="s">
        <v>1334</v>
      </c>
      <c r="L966" t="e">
        <f>VLOOKUP(H966,Sheet1!H:H,1,0)</f>
        <v>#N/A</v>
      </c>
    </row>
    <row r="967" spans="1:12">
      <c r="A967" t="s">
        <v>1209</v>
      </c>
      <c r="B967" t="s">
        <v>324</v>
      </c>
      <c r="C967" t="s">
        <v>210</v>
      </c>
      <c r="D967" t="s">
        <v>211</v>
      </c>
      <c r="E967" t="s">
        <v>1331</v>
      </c>
      <c r="F967" t="s">
        <v>1332</v>
      </c>
      <c r="G967" t="s">
        <v>1384</v>
      </c>
      <c r="H967">
        <v>1330004</v>
      </c>
      <c r="I967" t="s">
        <v>214</v>
      </c>
      <c r="J967" s="14">
        <v>45628</v>
      </c>
      <c r="K967" t="s">
        <v>1334</v>
      </c>
      <c r="L967" t="e">
        <f>VLOOKUP(H967,Sheet1!H:H,1,0)</f>
        <v>#N/A</v>
      </c>
    </row>
    <row r="968" spans="1:12">
      <c r="A968" t="s">
        <v>1209</v>
      </c>
      <c r="B968" t="s">
        <v>324</v>
      </c>
      <c r="C968" t="s">
        <v>210</v>
      </c>
      <c r="D968" t="s">
        <v>211</v>
      </c>
      <c r="E968" t="s">
        <v>1216</v>
      </c>
      <c r="F968" t="s">
        <v>1332</v>
      </c>
      <c r="G968" t="s">
        <v>1334</v>
      </c>
      <c r="H968">
        <v>1092704</v>
      </c>
      <c r="I968" t="s">
        <v>465</v>
      </c>
      <c r="J968" s="14">
        <v>43157</v>
      </c>
      <c r="K968" t="s">
        <v>1217</v>
      </c>
      <c r="L968" t="e">
        <f>VLOOKUP(H968,Sheet1!H:H,1,0)</f>
        <v>#N/A</v>
      </c>
    </row>
    <row r="969" spans="1:12">
      <c r="A969" t="s">
        <v>1209</v>
      </c>
      <c r="B969" t="s">
        <v>324</v>
      </c>
      <c r="C969" t="s">
        <v>210</v>
      </c>
      <c r="D969" t="s">
        <v>287</v>
      </c>
      <c r="E969" t="s">
        <v>830</v>
      </c>
      <c r="F969" t="s">
        <v>1332</v>
      </c>
      <c r="G969" t="s">
        <v>1385</v>
      </c>
      <c r="H969">
        <v>1012404</v>
      </c>
      <c r="I969" t="s">
        <v>510</v>
      </c>
      <c r="J969" s="14">
        <v>40030</v>
      </c>
      <c r="K969" t="s">
        <v>1217</v>
      </c>
      <c r="L969" t="e">
        <f>VLOOKUP(H969,Sheet1!H:H,1,0)</f>
        <v>#N/A</v>
      </c>
    </row>
    <row r="970" spans="1:12">
      <c r="A970" t="s">
        <v>1209</v>
      </c>
      <c r="B970" t="s">
        <v>324</v>
      </c>
      <c r="C970" t="s">
        <v>210</v>
      </c>
      <c r="D970" t="s">
        <v>211</v>
      </c>
      <c r="E970" t="s">
        <v>1331</v>
      </c>
      <c r="F970" t="s">
        <v>1332</v>
      </c>
      <c r="G970" t="s">
        <v>1386</v>
      </c>
      <c r="H970">
        <v>1340204</v>
      </c>
      <c r="I970" t="s">
        <v>214</v>
      </c>
      <c r="J970" s="14">
        <v>45916</v>
      </c>
      <c r="K970" t="s">
        <v>1334</v>
      </c>
      <c r="L970" t="e">
        <f>VLOOKUP(H970,Sheet1!H:H,1,0)</f>
        <v>#N/A</v>
      </c>
    </row>
    <row r="971" spans="1:12">
      <c r="A971" t="s">
        <v>1209</v>
      </c>
      <c r="B971" t="s">
        <v>324</v>
      </c>
      <c r="C971" t="s">
        <v>429</v>
      </c>
      <c r="D971" t="s">
        <v>211</v>
      </c>
      <c r="E971" t="s">
        <v>1331</v>
      </c>
      <c r="F971" t="s">
        <v>1332</v>
      </c>
      <c r="G971" t="s">
        <v>1387</v>
      </c>
      <c r="H971">
        <v>1297004</v>
      </c>
      <c r="I971" t="s">
        <v>220</v>
      </c>
      <c r="J971" s="14">
        <v>45246</v>
      </c>
      <c r="K971" t="s">
        <v>1334</v>
      </c>
      <c r="L971" t="e">
        <f>VLOOKUP(H971,Sheet1!H:H,1,0)</f>
        <v>#N/A</v>
      </c>
    </row>
    <row r="972" spans="1:12">
      <c r="A972" t="s">
        <v>1209</v>
      </c>
      <c r="B972" t="s">
        <v>324</v>
      </c>
      <c r="C972" t="s">
        <v>210</v>
      </c>
      <c r="D972" t="s">
        <v>211</v>
      </c>
      <c r="E972" t="s">
        <v>1331</v>
      </c>
      <c r="F972" t="s">
        <v>1332</v>
      </c>
      <c r="G972" t="s">
        <v>1388</v>
      </c>
      <c r="H972">
        <v>1350204</v>
      </c>
      <c r="I972" t="s">
        <v>220</v>
      </c>
      <c r="J972" s="14">
        <v>46104</v>
      </c>
      <c r="K972" t="s">
        <v>1334</v>
      </c>
      <c r="L972" t="e">
        <f>VLOOKUP(H972,Sheet1!H:H,1,0)</f>
        <v>#N/A</v>
      </c>
    </row>
    <row r="973" spans="1:12">
      <c r="A973" t="s">
        <v>1209</v>
      </c>
      <c r="B973" t="s">
        <v>324</v>
      </c>
      <c r="C973" t="s">
        <v>210</v>
      </c>
      <c r="D973" t="s">
        <v>211</v>
      </c>
      <c r="E973" t="s">
        <v>1331</v>
      </c>
      <c r="F973" t="s">
        <v>1332</v>
      </c>
      <c r="G973" t="s">
        <v>1389</v>
      </c>
      <c r="H973">
        <v>1224304</v>
      </c>
      <c r="I973" t="s">
        <v>214</v>
      </c>
      <c r="J973" s="14">
        <v>44348</v>
      </c>
      <c r="K973" t="s">
        <v>1334</v>
      </c>
      <c r="L973" t="e">
        <f>VLOOKUP(H973,Sheet1!H:H,1,0)</f>
        <v>#N/A</v>
      </c>
    </row>
    <row r="974" spans="1:12">
      <c r="A974" t="s">
        <v>1209</v>
      </c>
      <c r="B974" t="s">
        <v>324</v>
      </c>
      <c r="C974" t="s">
        <v>210</v>
      </c>
      <c r="D974" t="s">
        <v>211</v>
      </c>
      <c r="E974" t="s">
        <v>1331</v>
      </c>
      <c r="F974" t="s">
        <v>1332</v>
      </c>
      <c r="G974" t="s">
        <v>1390</v>
      </c>
      <c r="H974">
        <v>1225104</v>
      </c>
      <c r="I974" t="s">
        <v>214</v>
      </c>
      <c r="J974" s="14">
        <v>44718</v>
      </c>
      <c r="K974" t="s">
        <v>1334</v>
      </c>
      <c r="L974" t="e">
        <f>VLOOKUP(H974,Sheet1!H:H,1,0)</f>
        <v>#N/A</v>
      </c>
    </row>
    <row r="975" spans="1:12">
      <c r="A975" t="s">
        <v>1209</v>
      </c>
      <c r="B975" t="s">
        <v>263</v>
      </c>
      <c r="C975" t="s">
        <v>210</v>
      </c>
      <c r="D975" t="s">
        <v>211</v>
      </c>
      <c r="E975" t="s">
        <v>1391</v>
      </c>
      <c r="F975" t="s">
        <v>72</v>
      </c>
      <c r="G975" t="s">
        <v>1392</v>
      </c>
      <c r="H975">
        <v>1358704</v>
      </c>
      <c r="I975" t="s">
        <v>1173</v>
      </c>
      <c r="J975" s="14">
        <v>46027</v>
      </c>
      <c r="K975" t="s">
        <v>1393</v>
      </c>
      <c r="L975" t="e">
        <f>VLOOKUP(H975,Sheet1!H:H,1,0)</f>
        <v>#N/A</v>
      </c>
    </row>
    <row r="976" spans="1:12">
      <c r="A976" t="s">
        <v>1209</v>
      </c>
      <c r="B976" t="s">
        <v>263</v>
      </c>
      <c r="C976" t="s">
        <v>210</v>
      </c>
      <c r="D976" t="s">
        <v>211</v>
      </c>
      <c r="E976" t="s">
        <v>1216</v>
      </c>
      <c r="F976" t="s">
        <v>72</v>
      </c>
      <c r="G976" t="s">
        <v>1393</v>
      </c>
      <c r="H976">
        <v>1029504</v>
      </c>
      <c r="I976" t="s">
        <v>225</v>
      </c>
      <c r="J976" s="14">
        <v>40633</v>
      </c>
      <c r="K976" t="s">
        <v>1217</v>
      </c>
      <c r="L976" t="e">
        <f>VLOOKUP(H976,Sheet1!H:H,1,0)</f>
        <v>#N/A</v>
      </c>
    </row>
    <row r="977" spans="1:12">
      <c r="A977" t="s">
        <v>1209</v>
      </c>
      <c r="B977" t="s">
        <v>263</v>
      </c>
      <c r="C977" t="s">
        <v>210</v>
      </c>
      <c r="D977" t="s">
        <v>211</v>
      </c>
      <c r="E977" t="s">
        <v>1391</v>
      </c>
      <c r="F977" t="s">
        <v>72</v>
      </c>
      <c r="G977" t="s">
        <v>1394</v>
      </c>
      <c r="H977">
        <v>1205004</v>
      </c>
      <c r="I977" t="s">
        <v>214</v>
      </c>
      <c r="J977" s="14">
        <v>44181</v>
      </c>
      <c r="K977" t="s">
        <v>1393</v>
      </c>
      <c r="L977" t="e">
        <f>VLOOKUP(H977,Sheet1!H:H,1,0)</f>
        <v>#N/A</v>
      </c>
    </row>
    <row r="978" spans="1:12">
      <c r="A978" t="s">
        <v>1209</v>
      </c>
      <c r="B978" t="s">
        <v>263</v>
      </c>
      <c r="C978" t="s">
        <v>210</v>
      </c>
      <c r="D978" t="s">
        <v>211</v>
      </c>
      <c r="E978" t="s">
        <v>1391</v>
      </c>
      <c r="F978" t="s">
        <v>72</v>
      </c>
      <c r="G978" t="s">
        <v>1395</v>
      </c>
      <c r="H978">
        <v>1307504</v>
      </c>
      <c r="I978" t="s">
        <v>214</v>
      </c>
      <c r="J978" s="14">
        <v>45958</v>
      </c>
      <c r="K978" t="s">
        <v>1393</v>
      </c>
      <c r="L978" t="e">
        <f>VLOOKUP(H978,Sheet1!H:H,1,0)</f>
        <v>#N/A</v>
      </c>
    </row>
    <row r="979" spans="1:12">
      <c r="A979" t="s">
        <v>1209</v>
      </c>
      <c r="B979" t="s">
        <v>263</v>
      </c>
      <c r="C979" t="s">
        <v>210</v>
      </c>
      <c r="D979" t="s">
        <v>211</v>
      </c>
      <c r="E979" t="s">
        <v>1391</v>
      </c>
      <c r="F979" t="s">
        <v>72</v>
      </c>
      <c r="G979" t="s">
        <v>1396</v>
      </c>
      <c r="H979">
        <v>1350504</v>
      </c>
      <c r="I979" t="s">
        <v>220</v>
      </c>
      <c r="J979" s="14">
        <v>45973</v>
      </c>
      <c r="K979" t="s">
        <v>1393</v>
      </c>
      <c r="L979" t="e">
        <f>VLOOKUP(H979,Sheet1!H:H,1,0)</f>
        <v>#N/A</v>
      </c>
    </row>
    <row r="980" spans="1:12">
      <c r="A980" t="s">
        <v>1209</v>
      </c>
      <c r="B980" t="s">
        <v>263</v>
      </c>
      <c r="C980" t="s">
        <v>210</v>
      </c>
      <c r="D980" t="s">
        <v>211</v>
      </c>
      <c r="E980" t="s">
        <v>1391</v>
      </c>
      <c r="F980" t="s">
        <v>72</v>
      </c>
      <c r="G980" t="s">
        <v>1397</v>
      </c>
      <c r="H980">
        <v>1306004</v>
      </c>
      <c r="I980" t="s">
        <v>214</v>
      </c>
      <c r="J980" s="14">
        <v>45454</v>
      </c>
      <c r="K980" t="s">
        <v>1393</v>
      </c>
      <c r="L980" t="e">
        <f>VLOOKUP(H980,Sheet1!H:H,1,0)</f>
        <v>#N/A</v>
      </c>
    </row>
    <row r="981" spans="1:12">
      <c r="A981" t="s">
        <v>1209</v>
      </c>
      <c r="B981" t="s">
        <v>263</v>
      </c>
      <c r="C981" t="s">
        <v>210</v>
      </c>
      <c r="D981" t="s">
        <v>211</v>
      </c>
      <c r="E981" t="s">
        <v>1391</v>
      </c>
      <c r="F981" t="s">
        <v>72</v>
      </c>
      <c r="G981" t="s">
        <v>1398</v>
      </c>
      <c r="H981">
        <v>1251004</v>
      </c>
      <c r="I981" t="s">
        <v>214</v>
      </c>
      <c r="J981" s="14">
        <v>46041</v>
      </c>
      <c r="K981" t="s">
        <v>1393</v>
      </c>
      <c r="L981" t="e">
        <f>VLOOKUP(H981,Sheet1!H:H,1,0)</f>
        <v>#N/A</v>
      </c>
    </row>
    <row r="982" spans="1:12">
      <c r="A982" t="s">
        <v>1209</v>
      </c>
      <c r="B982" t="s">
        <v>263</v>
      </c>
      <c r="C982" t="s">
        <v>210</v>
      </c>
      <c r="D982" t="s">
        <v>211</v>
      </c>
      <c r="E982" t="s">
        <v>1391</v>
      </c>
      <c r="F982" t="s">
        <v>72</v>
      </c>
      <c r="G982" t="s">
        <v>1399</v>
      </c>
      <c r="H982">
        <v>1175304</v>
      </c>
      <c r="I982" t="s">
        <v>214</v>
      </c>
      <c r="J982" s="14">
        <v>43409</v>
      </c>
      <c r="K982" t="s">
        <v>1393</v>
      </c>
      <c r="L982" t="e">
        <f>VLOOKUP(H982,Sheet1!H:H,1,0)</f>
        <v>#N/A</v>
      </c>
    </row>
    <row r="983" spans="1:12">
      <c r="A983" t="s">
        <v>1209</v>
      </c>
      <c r="B983" t="s">
        <v>324</v>
      </c>
      <c r="C983" t="s">
        <v>210</v>
      </c>
      <c r="D983" t="s">
        <v>211</v>
      </c>
      <c r="E983" t="s">
        <v>1400</v>
      </c>
      <c r="F983" t="s">
        <v>73</v>
      </c>
      <c r="G983" t="s">
        <v>1401</v>
      </c>
      <c r="H983">
        <v>1345504</v>
      </c>
      <c r="I983" t="s">
        <v>214</v>
      </c>
      <c r="J983" s="14">
        <v>45964</v>
      </c>
      <c r="K983" t="s">
        <v>1402</v>
      </c>
      <c r="L983" t="e">
        <f>VLOOKUP(H983,Sheet1!H:H,1,0)</f>
        <v>#N/A</v>
      </c>
    </row>
    <row r="984" spans="1:12">
      <c r="A984" t="s">
        <v>1209</v>
      </c>
      <c r="B984" t="s">
        <v>324</v>
      </c>
      <c r="C984" t="s">
        <v>210</v>
      </c>
      <c r="D984" t="s">
        <v>211</v>
      </c>
      <c r="E984" t="s">
        <v>1400</v>
      </c>
      <c r="F984" t="s">
        <v>73</v>
      </c>
      <c r="G984" t="s">
        <v>1403</v>
      </c>
      <c r="H984">
        <v>1346004</v>
      </c>
      <c r="I984" t="s">
        <v>214</v>
      </c>
      <c r="J984" s="14">
        <v>45964</v>
      </c>
      <c r="K984" t="s">
        <v>1402</v>
      </c>
      <c r="L984" t="e">
        <f>VLOOKUP(H984,Sheet1!H:H,1,0)</f>
        <v>#N/A</v>
      </c>
    </row>
    <row r="985" spans="1:12">
      <c r="A985" t="s">
        <v>1209</v>
      </c>
      <c r="B985" t="s">
        <v>324</v>
      </c>
      <c r="C985" t="s">
        <v>210</v>
      </c>
      <c r="D985" t="s">
        <v>211</v>
      </c>
      <c r="E985" t="s">
        <v>1400</v>
      </c>
      <c r="F985" t="s">
        <v>73</v>
      </c>
      <c r="G985" t="s">
        <v>1404</v>
      </c>
      <c r="H985">
        <v>1183804</v>
      </c>
      <c r="I985" t="s">
        <v>333</v>
      </c>
      <c r="J985" s="14">
        <v>43431</v>
      </c>
      <c r="K985" t="s">
        <v>1402</v>
      </c>
      <c r="L985" t="e">
        <f>VLOOKUP(H985,Sheet1!H:H,1,0)</f>
        <v>#N/A</v>
      </c>
    </row>
    <row r="986" spans="1:12">
      <c r="A986" t="s">
        <v>1209</v>
      </c>
      <c r="B986" t="s">
        <v>324</v>
      </c>
      <c r="C986" t="s">
        <v>210</v>
      </c>
      <c r="D986" t="s">
        <v>211</v>
      </c>
      <c r="E986" t="s">
        <v>1400</v>
      </c>
      <c r="F986" t="s">
        <v>73</v>
      </c>
      <c r="G986" t="s">
        <v>1405</v>
      </c>
      <c r="H986">
        <v>1249704</v>
      </c>
      <c r="I986" t="s">
        <v>214</v>
      </c>
      <c r="J986" s="14">
        <v>44728</v>
      </c>
      <c r="K986" t="s">
        <v>1402</v>
      </c>
      <c r="L986" t="e">
        <f>VLOOKUP(H986,Sheet1!H:H,1,0)</f>
        <v>#N/A</v>
      </c>
    </row>
    <row r="987" spans="1:12">
      <c r="A987" t="s">
        <v>1209</v>
      </c>
      <c r="B987" t="s">
        <v>324</v>
      </c>
      <c r="C987" t="s">
        <v>210</v>
      </c>
      <c r="D987" t="s">
        <v>211</v>
      </c>
      <c r="E987" t="s">
        <v>1400</v>
      </c>
      <c r="F987" t="s">
        <v>73</v>
      </c>
      <c r="G987" t="s">
        <v>1406</v>
      </c>
      <c r="H987">
        <v>1332004</v>
      </c>
      <c r="I987" t="s">
        <v>220</v>
      </c>
      <c r="J987" s="14">
        <v>45698</v>
      </c>
      <c r="K987" t="s">
        <v>1402</v>
      </c>
      <c r="L987" t="e">
        <f>VLOOKUP(H987,Sheet1!H:H,1,0)</f>
        <v>#N/A</v>
      </c>
    </row>
    <row r="988" spans="1:12">
      <c r="A988" t="s">
        <v>1209</v>
      </c>
      <c r="B988" t="s">
        <v>324</v>
      </c>
      <c r="C988" t="s">
        <v>210</v>
      </c>
      <c r="D988" t="s">
        <v>211</v>
      </c>
      <c r="E988" t="s">
        <v>1400</v>
      </c>
      <c r="F988" t="s">
        <v>73</v>
      </c>
      <c r="G988" t="s">
        <v>1407</v>
      </c>
      <c r="H988">
        <v>1230604</v>
      </c>
      <c r="I988" t="s">
        <v>214</v>
      </c>
      <c r="J988" s="14">
        <v>44495</v>
      </c>
      <c r="K988" t="s">
        <v>1402</v>
      </c>
      <c r="L988" t="e">
        <f>VLOOKUP(H988,Sheet1!H:H,1,0)</f>
        <v>#N/A</v>
      </c>
    </row>
    <row r="989" spans="1:12">
      <c r="A989" t="s">
        <v>1209</v>
      </c>
      <c r="B989" t="s">
        <v>324</v>
      </c>
      <c r="C989" t="s">
        <v>210</v>
      </c>
      <c r="D989" t="s">
        <v>211</v>
      </c>
      <c r="E989" t="s">
        <v>1400</v>
      </c>
      <c r="F989" t="s">
        <v>73</v>
      </c>
      <c r="G989" t="s">
        <v>1408</v>
      </c>
      <c r="H989">
        <v>1226704</v>
      </c>
      <c r="I989" t="s">
        <v>617</v>
      </c>
      <c r="J989" s="14">
        <v>44378</v>
      </c>
      <c r="K989" t="s">
        <v>1402</v>
      </c>
      <c r="L989" t="e">
        <f>VLOOKUP(H989,Sheet1!H:H,1,0)</f>
        <v>#N/A</v>
      </c>
    </row>
    <row r="990" spans="1:12">
      <c r="A990" t="s">
        <v>1209</v>
      </c>
      <c r="B990" t="s">
        <v>324</v>
      </c>
      <c r="C990" t="s">
        <v>210</v>
      </c>
      <c r="D990" t="s">
        <v>211</v>
      </c>
      <c r="E990" t="s">
        <v>1400</v>
      </c>
      <c r="F990" t="s">
        <v>73</v>
      </c>
      <c r="G990" t="s">
        <v>1409</v>
      </c>
      <c r="H990">
        <v>1118304</v>
      </c>
      <c r="I990" t="s">
        <v>905</v>
      </c>
      <c r="J990" s="14">
        <v>42471</v>
      </c>
      <c r="K990" t="s">
        <v>1402</v>
      </c>
      <c r="L990" t="e">
        <f>VLOOKUP(H990,Sheet1!H:H,1,0)</f>
        <v>#N/A</v>
      </c>
    </row>
    <row r="991" spans="1:12">
      <c r="A991" t="s">
        <v>1209</v>
      </c>
      <c r="B991" t="s">
        <v>324</v>
      </c>
      <c r="C991" t="s">
        <v>210</v>
      </c>
      <c r="D991" t="s">
        <v>211</v>
      </c>
      <c r="E991" t="s">
        <v>1400</v>
      </c>
      <c r="F991" t="s">
        <v>73</v>
      </c>
      <c r="G991" t="s">
        <v>1410</v>
      </c>
      <c r="H991">
        <v>1335804</v>
      </c>
      <c r="I991" t="s">
        <v>214</v>
      </c>
      <c r="J991" s="14">
        <v>45831</v>
      </c>
      <c r="K991" t="s">
        <v>1402</v>
      </c>
      <c r="L991" t="e">
        <f>VLOOKUP(H991,Sheet1!H:H,1,0)</f>
        <v>#N/A</v>
      </c>
    </row>
    <row r="992" spans="1:12">
      <c r="A992" t="s">
        <v>1209</v>
      </c>
      <c r="B992" t="s">
        <v>324</v>
      </c>
      <c r="C992" t="s">
        <v>210</v>
      </c>
      <c r="D992" t="s">
        <v>211</v>
      </c>
      <c r="E992" t="s">
        <v>1400</v>
      </c>
      <c r="F992" t="s">
        <v>73</v>
      </c>
      <c r="G992" t="s">
        <v>1411</v>
      </c>
      <c r="H992">
        <v>1344404</v>
      </c>
      <c r="I992" t="s">
        <v>214</v>
      </c>
      <c r="J992" s="14">
        <v>45964</v>
      </c>
      <c r="K992" t="s">
        <v>1402</v>
      </c>
      <c r="L992" t="e">
        <f>VLOOKUP(H992,Sheet1!H:H,1,0)</f>
        <v>#N/A</v>
      </c>
    </row>
    <row r="993" spans="1:12">
      <c r="A993" t="s">
        <v>1209</v>
      </c>
      <c r="B993" t="s">
        <v>324</v>
      </c>
      <c r="C993" t="s">
        <v>210</v>
      </c>
      <c r="D993" t="s">
        <v>211</v>
      </c>
      <c r="E993" t="s">
        <v>1400</v>
      </c>
      <c r="F993" t="s">
        <v>73</v>
      </c>
      <c r="G993" t="s">
        <v>1412</v>
      </c>
      <c r="H993">
        <v>1307104</v>
      </c>
      <c r="I993" t="s">
        <v>214</v>
      </c>
      <c r="J993" s="14">
        <v>45460</v>
      </c>
      <c r="K993" t="s">
        <v>1402</v>
      </c>
      <c r="L993" t="e">
        <f>VLOOKUP(H993,Sheet1!H:H,1,0)</f>
        <v>#N/A</v>
      </c>
    </row>
    <row r="994" spans="1:12">
      <c r="A994" t="s">
        <v>1209</v>
      </c>
      <c r="B994" t="s">
        <v>324</v>
      </c>
      <c r="C994" t="s">
        <v>210</v>
      </c>
      <c r="D994" t="s">
        <v>211</v>
      </c>
      <c r="E994" t="s">
        <v>1400</v>
      </c>
      <c r="F994" t="s">
        <v>73</v>
      </c>
      <c r="G994" t="s">
        <v>1413</v>
      </c>
      <c r="H994">
        <v>1317704</v>
      </c>
      <c r="I994" t="s">
        <v>214</v>
      </c>
      <c r="J994" s="14">
        <v>45600</v>
      </c>
      <c r="K994" t="s">
        <v>1402</v>
      </c>
      <c r="L994" t="e">
        <f>VLOOKUP(H994,Sheet1!H:H,1,0)</f>
        <v>#N/A</v>
      </c>
    </row>
    <row r="995" spans="1:12">
      <c r="A995" t="s">
        <v>1209</v>
      </c>
      <c r="B995" t="s">
        <v>324</v>
      </c>
      <c r="C995" t="s">
        <v>210</v>
      </c>
      <c r="D995" t="s">
        <v>287</v>
      </c>
      <c r="E995" t="s">
        <v>830</v>
      </c>
      <c r="F995" t="s">
        <v>73</v>
      </c>
      <c r="G995" t="s">
        <v>1414</v>
      </c>
      <c r="H995">
        <v>1100304</v>
      </c>
      <c r="I995" t="s">
        <v>488</v>
      </c>
      <c r="J995" s="14">
        <v>42059</v>
      </c>
      <c r="K995" t="s">
        <v>1217</v>
      </c>
      <c r="L995" t="e">
        <f>VLOOKUP(H995,Sheet1!H:H,1,0)</f>
        <v>#N/A</v>
      </c>
    </row>
    <row r="996" spans="1:12">
      <c r="A996" t="s">
        <v>1209</v>
      </c>
      <c r="B996" t="s">
        <v>324</v>
      </c>
      <c r="C996" t="s">
        <v>210</v>
      </c>
      <c r="D996" t="s">
        <v>211</v>
      </c>
      <c r="E996" t="s">
        <v>1400</v>
      </c>
      <c r="F996" t="s">
        <v>73</v>
      </c>
      <c r="G996" t="s">
        <v>1415</v>
      </c>
      <c r="H996">
        <v>1359704</v>
      </c>
      <c r="I996" t="s">
        <v>214</v>
      </c>
      <c r="J996" s="14">
        <v>46097</v>
      </c>
      <c r="K996" t="s">
        <v>1402</v>
      </c>
      <c r="L996" t="e">
        <f>VLOOKUP(H996,Sheet1!H:H,1,0)</f>
        <v>#N/A</v>
      </c>
    </row>
    <row r="997" spans="1:12">
      <c r="A997" t="s">
        <v>1209</v>
      </c>
      <c r="B997" t="s">
        <v>324</v>
      </c>
      <c r="C997" t="s">
        <v>210</v>
      </c>
      <c r="D997" t="s">
        <v>211</v>
      </c>
      <c r="E997" t="s">
        <v>1400</v>
      </c>
      <c r="F997" t="s">
        <v>73</v>
      </c>
      <c r="G997" t="s">
        <v>1416</v>
      </c>
      <c r="H997">
        <v>1328004</v>
      </c>
      <c r="I997" t="s">
        <v>214</v>
      </c>
      <c r="J997" s="14">
        <v>45614</v>
      </c>
      <c r="K997" t="s">
        <v>1402</v>
      </c>
      <c r="L997" t="e">
        <f>VLOOKUP(H997,Sheet1!H:H,1,0)</f>
        <v>#N/A</v>
      </c>
    </row>
    <row r="998" spans="1:12">
      <c r="A998" t="s">
        <v>1209</v>
      </c>
      <c r="B998" t="s">
        <v>324</v>
      </c>
      <c r="C998" t="s">
        <v>210</v>
      </c>
      <c r="D998" t="s">
        <v>211</v>
      </c>
      <c r="E998" t="s">
        <v>1400</v>
      </c>
      <c r="F998" t="s">
        <v>73</v>
      </c>
      <c r="G998" t="s">
        <v>1417</v>
      </c>
      <c r="H998">
        <v>1359404</v>
      </c>
      <c r="I998" t="s">
        <v>214</v>
      </c>
      <c r="J998" s="14">
        <v>46097</v>
      </c>
      <c r="K998" t="s">
        <v>1402</v>
      </c>
      <c r="L998" t="e">
        <f>VLOOKUP(H998,Sheet1!H:H,1,0)</f>
        <v>#N/A</v>
      </c>
    </row>
    <row r="999" spans="1:12">
      <c r="A999" t="s">
        <v>1209</v>
      </c>
      <c r="B999" t="s">
        <v>324</v>
      </c>
      <c r="C999" t="s">
        <v>210</v>
      </c>
      <c r="D999" t="s">
        <v>211</v>
      </c>
      <c r="E999" t="s">
        <v>1400</v>
      </c>
      <c r="F999" t="s">
        <v>73</v>
      </c>
      <c r="G999" t="s">
        <v>1418</v>
      </c>
      <c r="H999">
        <v>1092104</v>
      </c>
      <c r="I999" t="s">
        <v>422</v>
      </c>
      <c r="J999" s="14">
        <v>41902</v>
      </c>
      <c r="K999" t="s">
        <v>1402</v>
      </c>
      <c r="L999" t="e">
        <f>VLOOKUP(H999,Sheet1!H:H,1,0)</f>
        <v>#N/A</v>
      </c>
    </row>
    <row r="1000" spans="1:12">
      <c r="A1000" t="s">
        <v>1209</v>
      </c>
      <c r="B1000" t="s">
        <v>324</v>
      </c>
      <c r="C1000" t="s">
        <v>210</v>
      </c>
      <c r="D1000" t="s">
        <v>211</v>
      </c>
      <c r="E1000" t="s">
        <v>1400</v>
      </c>
      <c r="F1000" t="s">
        <v>73</v>
      </c>
      <c r="G1000" t="s">
        <v>1419</v>
      </c>
      <c r="H1000">
        <v>1230204</v>
      </c>
      <c r="I1000" t="s">
        <v>214</v>
      </c>
      <c r="J1000" s="14">
        <v>44487</v>
      </c>
      <c r="K1000" t="s">
        <v>1402</v>
      </c>
      <c r="L1000" t="e">
        <f>VLOOKUP(H1000,Sheet1!H:H,1,0)</f>
        <v>#N/A</v>
      </c>
    </row>
    <row r="1001" spans="1:12">
      <c r="A1001" t="s">
        <v>1209</v>
      </c>
      <c r="B1001" t="s">
        <v>324</v>
      </c>
      <c r="C1001" t="s">
        <v>210</v>
      </c>
      <c r="D1001" t="s">
        <v>211</v>
      </c>
      <c r="E1001" t="s">
        <v>1400</v>
      </c>
      <c r="F1001" t="s">
        <v>73</v>
      </c>
      <c r="G1001" t="s">
        <v>1420</v>
      </c>
      <c r="H1001">
        <v>1087904</v>
      </c>
      <c r="I1001" t="s">
        <v>890</v>
      </c>
      <c r="J1001" s="14">
        <v>41837</v>
      </c>
      <c r="K1001" t="s">
        <v>1402</v>
      </c>
      <c r="L1001" t="e">
        <f>VLOOKUP(H1001,Sheet1!H:H,1,0)</f>
        <v>#N/A</v>
      </c>
    </row>
    <row r="1002" spans="1:12">
      <c r="A1002" t="s">
        <v>1209</v>
      </c>
      <c r="B1002" t="s">
        <v>324</v>
      </c>
      <c r="C1002" t="s">
        <v>210</v>
      </c>
      <c r="D1002" t="s">
        <v>211</v>
      </c>
      <c r="E1002" t="s">
        <v>1400</v>
      </c>
      <c r="F1002" t="s">
        <v>73</v>
      </c>
      <c r="G1002" t="s">
        <v>1421</v>
      </c>
      <c r="H1002">
        <v>1354204</v>
      </c>
      <c r="I1002" t="s">
        <v>214</v>
      </c>
      <c r="J1002" s="14">
        <v>45999</v>
      </c>
      <c r="K1002" t="s">
        <v>1402</v>
      </c>
      <c r="L1002" t="e">
        <f>VLOOKUP(H1002,Sheet1!H:H,1,0)</f>
        <v>#N/A</v>
      </c>
    </row>
    <row r="1003" spans="1:12">
      <c r="A1003" t="s">
        <v>1209</v>
      </c>
      <c r="B1003" t="s">
        <v>324</v>
      </c>
      <c r="C1003" t="s">
        <v>210</v>
      </c>
      <c r="D1003" t="s">
        <v>211</v>
      </c>
      <c r="E1003" t="s">
        <v>1400</v>
      </c>
      <c r="F1003" t="s">
        <v>73</v>
      </c>
      <c r="G1003" t="s">
        <v>1422</v>
      </c>
      <c r="H1003">
        <v>1343704</v>
      </c>
      <c r="I1003" t="s">
        <v>214</v>
      </c>
      <c r="J1003" s="14">
        <v>45946</v>
      </c>
      <c r="K1003" t="s">
        <v>1402</v>
      </c>
      <c r="L1003" t="e">
        <f>VLOOKUP(H1003,Sheet1!H:H,1,0)</f>
        <v>#N/A</v>
      </c>
    </row>
    <row r="1004" spans="1:12">
      <c r="A1004" t="s">
        <v>1209</v>
      </c>
      <c r="B1004" t="s">
        <v>324</v>
      </c>
      <c r="C1004" t="s">
        <v>210</v>
      </c>
      <c r="D1004" t="s">
        <v>211</v>
      </c>
      <c r="E1004" t="s">
        <v>1400</v>
      </c>
      <c r="F1004" t="s">
        <v>73</v>
      </c>
      <c r="G1004" t="s">
        <v>1423</v>
      </c>
      <c r="H1004">
        <v>1328304</v>
      </c>
      <c r="I1004" t="s">
        <v>220</v>
      </c>
      <c r="J1004" s="14">
        <v>45614</v>
      </c>
      <c r="K1004" t="s">
        <v>1402</v>
      </c>
      <c r="L1004" t="e">
        <f>VLOOKUP(H1004,Sheet1!H:H,1,0)</f>
        <v>#N/A</v>
      </c>
    </row>
    <row r="1005" spans="1:12">
      <c r="A1005" t="s">
        <v>1209</v>
      </c>
      <c r="B1005" t="s">
        <v>324</v>
      </c>
      <c r="C1005" t="s">
        <v>210</v>
      </c>
      <c r="D1005" t="s">
        <v>287</v>
      </c>
      <c r="E1005" t="s">
        <v>830</v>
      </c>
      <c r="F1005" t="s">
        <v>73</v>
      </c>
      <c r="G1005" t="s">
        <v>1424</v>
      </c>
      <c r="H1005">
        <v>1149304</v>
      </c>
      <c r="I1005" t="s">
        <v>488</v>
      </c>
      <c r="J1005" s="14">
        <v>42948</v>
      </c>
      <c r="K1005" t="s">
        <v>1217</v>
      </c>
      <c r="L1005" t="e">
        <f>VLOOKUP(H1005,Sheet1!H:H,1,0)</f>
        <v>#N/A</v>
      </c>
    </row>
    <row r="1006" spans="1:12">
      <c r="A1006" t="s">
        <v>1209</v>
      </c>
      <c r="B1006" t="s">
        <v>324</v>
      </c>
      <c r="C1006" t="s">
        <v>210</v>
      </c>
      <c r="D1006" t="s">
        <v>211</v>
      </c>
      <c r="E1006" t="s">
        <v>1400</v>
      </c>
      <c r="F1006" t="s">
        <v>73</v>
      </c>
      <c r="G1006" t="s">
        <v>1425</v>
      </c>
      <c r="H1006">
        <v>1289804</v>
      </c>
      <c r="I1006" t="s">
        <v>214</v>
      </c>
      <c r="J1006" s="14">
        <v>45323</v>
      </c>
      <c r="K1006" t="s">
        <v>1402</v>
      </c>
      <c r="L1006" t="e">
        <f>VLOOKUP(H1006,Sheet1!H:H,1,0)</f>
        <v>#N/A</v>
      </c>
    </row>
    <row r="1007" spans="1:12">
      <c r="A1007" t="s">
        <v>1209</v>
      </c>
      <c r="B1007" t="s">
        <v>324</v>
      </c>
      <c r="C1007" t="s">
        <v>210</v>
      </c>
      <c r="D1007" t="s">
        <v>211</v>
      </c>
      <c r="E1007" t="s">
        <v>1400</v>
      </c>
      <c r="F1007" t="s">
        <v>73</v>
      </c>
      <c r="G1007" t="s">
        <v>1426</v>
      </c>
      <c r="H1007">
        <v>1359604</v>
      </c>
      <c r="I1007" t="s">
        <v>214</v>
      </c>
      <c r="J1007" s="14">
        <v>46097</v>
      </c>
      <c r="K1007" t="s">
        <v>1402</v>
      </c>
      <c r="L1007" t="e">
        <f>VLOOKUP(H1007,Sheet1!H:H,1,0)</f>
        <v>#N/A</v>
      </c>
    </row>
    <row r="1008" spans="1:12">
      <c r="A1008" t="s">
        <v>1209</v>
      </c>
      <c r="B1008" t="s">
        <v>324</v>
      </c>
      <c r="C1008" t="s">
        <v>210</v>
      </c>
      <c r="D1008" t="s">
        <v>211</v>
      </c>
      <c r="E1008" t="s">
        <v>1400</v>
      </c>
      <c r="F1008" t="s">
        <v>73</v>
      </c>
      <c r="G1008" t="s">
        <v>1427</v>
      </c>
      <c r="H1008">
        <v>1334104</v>
      </c>
      <c r="I1008" t="s">
        <v>220</v>
      </c>
      <c r="J1008" s="14">
        <v>45779</v>
      </c>
      <c r="K1008" t="s">
        <v>1402</v>
      </c>
      <c r="L1008" t="e">
        <f>VLOOKUP(H1008,Sheet1!H:H,1,0)</f>
        <v>#N/A</v>
      </c>
    </row>
    <row r="1009" spans="1:12">
      <c r="A1009" t="s">
        <v>1209</v>
      </c>
      <c r="B1009" t="s">
        <v>324</v>
      </c>
      <c r="C1009" t="s">
        <v>210</v>
      </c>
      <c r="D1009" t="s">
        <v>211</v>
      </c>
      <c r="E1009" t="s">
        <v>1400</v>
      </c>
      <c r="F1009" t="s">
        <v>73</v>
      </c>
      <c r="G1009" t="s">
        <v>1428</v>
      </c>
      <c r="H1009">
        <v>1156004</v>
      </c>
      <c r="I1009" t="s">
        <v>333</v>
      </c>
      <c r="J1009" s="14">
        <v>43052</v>
      </c>
      <c r="K1009" t="s">
        <v>1402</v>
      </c>
      <c r="L1009" t="e">
        <f>VLOOKUP(H1009,Sheet1!H:H,1,0)</f>
        <v>#N/A</v>
      </c>
    </row>
    <row r="1010" spans="1:12">
      <c r="A1010" t="s">
        <v>1209</v>
      </c>
      <c r="B1010" t="s">
        <v>324</v>
      </c>
      <c r="C1010" t="s">
        <v>210</v>
      </c>
      <c r="D1010" t="s">
        <v>211</v>
      </c>
      <c r="E1010" t="s">
        <v>1400</v>
      </c>
      <c r="F1010" t="s">
        <v>73</v>
      </c>
      <c r="G1010" t="s">
        <v>1429</v>
      </c>
      <c r="H1010">
        <v>1288804</v>
      </c>
      <c r="I1010" t="s">
        <v>214</v>
      </c>
      <c r="J1010" s="14">
        <v>45460</v>
      </c>
      <c r="K1010" t="s">
        <v>1402</v>
      </c>
      <c r="L1010" t="e">
        <f>VLOOKUP(H1010,Sheet1!H:H,1,0)</f>
        <v>#N/A</v>
      </c>
    </row>
    <row r="1011" spans="1:12">
      <c r="A1011" t="s">
        <v>1209</v>
      </c>
      <c r="B1011" t="s">
        <v>324</v>
      </c>
      <c r="C1011" t="s">
        <v>210</v>
      </c>
      <c r="D1011" t="s">
        <v>211</v>
      </c>
      <c r="E1011" t="s">
        <v>1400</v>
      </c>
      <c r="F1011" t="s">
        <v>73</v>
      </c>
      <c r="G1011" t="s">
        <v>1430</v>
      </c>
      <c r="H1011">
        <v>1248704</v>
      </c>
      <c r="I1011" t="s">
        <v>214</v>
      </c>
      <c r="J1011" s="14">
        <v>44713</v>
      </c>
      <c r="K1011" t="s">
        <v>1402</v>
      </c>
      <c r="L1011" t="e">
        <f>VLOOKUP(H1011,Sheet1!H:H,1,0)</f>
        <v>#N/A</v>
      </c>
    </row>
    <row r="1012" spans="1:12">
      <c r="A1012" t="s">
        <v>1209</v>
      </c>
      <c r="B1012" t="s">
        <v>324</v>
      </c>
      <c r="C1012" t="s">
        <v>210</v>
      </c>
      <c r="D1012" t="s">
        <v>211</v>
      </c>
      <c r="E1012" t="s">
        <v>1400</v>
      </c>
      <c r="F1012" t="s">
        <v>73</v>
      </c>
      <c r="G1012" t="s">
        <v>1431</v>
      </c>
      <c r="H1012">
        <v>1333904</v>
      </c>
      <c r="I1012" t="s">
        <v>214</v>
      </c>
      <c r="J1012" s="14">
        <v>45779</v>
      </c>
      <c r="K1012" t="s">
        <v>1402</v>
      </c>
      <c r="L1012" t="e">
        <f>VLOOKUP(H1012,Sheet1!H:H,1,0)</f>
        <v>#N/A</v>
      </c>
    </row>
    <row r="1013" spans="1:12">
      <c r="A1013" t="s">
        <v>1209</v>
      </c>
      <c r="B1013" t="s">
        <v>324</v>
      </c>
      <c r="C1013" t="s">
        <v>210</v>
      </c>
      <c r="D1013" t="s">
        <v>211</v>
      </c>
      <c r="E1013" t="s">
        <v>1400</v>
      </c>
      <c r="F1013" t="s">
        <v>73</v>
      </c>
      <c r="G1013" t="s">
        <v>1432</v>
      </c>
      <c r="H1013">
        <v>1353304</v>
      </c>
      <c r="I1013" t="s">
        <v>214</v>
      </c>
      <c r="J1013" s="14">
        <v>45999</v>
      </c>
      <c r="K1013" t="s">
        <v>1402</v>
      </c>
      <c r="L1013" t="e">
        <f>VLOOKUP(H1013,Sheet1!H:H,1,0)</f>
        <v>#N/A</v>
      </c>
    </row>
    <row r="1014" spans="1:12">
      <c r="A1014" t="s">
        <v>1209</v>
      </c>
      <c r="B1014" t="s">
        <v>324</v>
      </c>
      <c r="C1014" t="s">
        <v>210</v>
      </c>
      <c r="D1014" t="s">
        <v>211</v>
      </c>
      <c r="E1014" t="s">
        <v>1400</v>
      </c>
      <c r="F1014" t="s">
        <v>73</v>
      </c>
      <c r="G1014" t="s">
        <v>1433</v>
      </c>
      <c r="H1014">
        <v>1275804</v>
      </c>
      <c r="I1014" t="s">
        <v>214</v>
      </c>
      <c r="J1014" s="14">
        <v>45059</v>
      </c>
      <c r="K1014" t="s">
        <v>1402</v>
      </c>
      <c r="L1014" t="e">
        <f>VLOOKUP(H1014,Sheet1!H:H,1,0)</f>
        <v>#N/A</v>
      </c>
    </row>
    <row r="1015" spans="1:12">
      <c r="A1015" t="s">
        <v>1209</v>
      </c>
      <c r="B1015" t="s">
        <v>324</v>
      </c>
      <c r="C1015" t="s">
        <v>210</v>
      </c>
      <c r="D1015" t="s">
        <v>211</v>
      </c>
      <c r="E1015" t="s">
        <v>1400</v>
      </c>
      <c r="F1015" t="s">
        <v>73</v>
      </c>
      <c r="G1015" t="s">
        <v>1434</v>
      </c>
      <c r="H1015">
        <v>1303804</v>
      </c>
      <c r="I1015" t="s">
        <v>214</v>
      </c>
      <c r="J1015" s="14">
        <v>45398</v>
      </c>
      <c r="K1015" t="s">
        <v>1402</v>
      </c>
      <c r="L1015" t="e">
        <f>VLOOKUP(H1015,Sheet1!H:H,1,0)</f>
        <v>#N/A</v>
      </c>
    </row>
    <row r="1016" spans="1:12">
      <c r="A1016" t="s">
        <v>1209</v>
      </c>
      <c r="B1016" t="s">
        <v>324</v>
      </c>
      <c r="C1016" t="s">
        <v>210</v>
      </c>
      <c r="D1016" t="s">
        <v>211</v>
      </c>
      <c r="E1016" t="s">
        <v>1400</v>
      </c>
      <c r="F1016" t="s">
        <v>73</v>
      </c>
      <c r="G1016" t="s">
        <v>1435</v>
      </c>
      <c r="H1016">
        <v>1323804</v>
      </c>
      <c r="I1016" t="s">
        <v>214</v>
      </c>
      <c r="J1016" s="14">
        <v>45691</v>
      </c>
      <c r="K1016" t="s">
        <v>1402</v>
      </c>
      <c r="L1016" t="e">
        <f>VLOOKUP(H1016,Sheet1!H:H,1,0)</f>
        <v>#N/A</v>
      </c>
    </row>
    <row r="1017" spans="1:12">
      <c r="A1017" t="s">
        <v>1209</v>
      </c>
      <c r="B1017" t="s">
        <v>324</v>
      </c>
      <c r="C1017" t="s">
        <v>210</v>
      </c>
      <c r="D1017" t="s">
        <v>211</v>
      </c>
      <c r="E1017" t="s">
        <v>1400</v>
      </c>
      <c r="F1017" t="s">
        <v>73</v>
      </c>
      <c r="G1017" t="s">
        <v>1436</v>
      </c>
      <c r="H1017">
        <v>1317404</v>
      </c>
      <c r="I1017" t="s">
        <v>214</v>
      </c>
      <c r="J1017" s="14">
        <v>45600</v>
      </c>
      <c r="K1017" t="s">
        <v>1402</v>
      </c>
      <c r="L1017" t="e">
        <f>VLOOKUP(H1017,Sheet1!H:H,1,0)</f>
        <v>#N/A</v>
      </c>
    </row>
    <row r="1018" spans="1:12">
      <c r="A1018" t="s">
        <v>1209</v>
      </c>
      <c r="B1018" t="s">
        <v>324</v>
      </c>
      <c r="C1018" t="s">
        <v>210</v>
      </c>
      <c r="D1018" t="s">
        <v>211</v>
      </c>
      <c r="E1018" t="s">
        <v>1400</v>
      </c>
      <c r="F1018" t="s">
        <v>73</v>
      </c>
      <c r="G1018" t="s">
        <v>1437</v>
      </c>
      <c r="H1018">
        <v>1315304</v>
      </c>
      <c r="I1018" t="s">
        <v>240</v>
      </c>
      <c r="J1018" s="14">
        <v>45561</v>
      </c>
      <c r="K1018" t="s">
        <v>1402</v>
      </c>
      <c r="L1018" t="e">
        <f>VLOOKUP(H1018,Sheet1!H:H,1,0)</f>
        <v>#N/A</v>
      </c>
    </row>
    <row r="1019" spans="1:12">
      <c r="A1019" t="s">
        <v>1209</v>
      </c>
      <c r="B1019" t="s">
        <v>324</v>
      </c>
      <c r="C1019" t="s">
        <v>429</v>
      </c>
      <c r="D1019" t="s">
        <v>211</v>
      </c>
      <c r="E1019" t="s">
        <v>1400</v>
      </c>
      <c r="F1019" t="s">
        <v>73</v>
      </c>
      <c r="G1019" t="s">
        <v>1438</v>
      </c>
      <c r="H1019">
        <v>1317004</v>
      </c>
      <c r="I1019" t="s">
        <v>220</v>
      </c>
      <c r="J1019" s="14">
        <v>45824</v>
      </c>
      <c r="K1019" t="s">
        <v>1402</v>
      </c>
      <c r="L1019" t="e">
        <f>VLOOKUP(H1019,Sheet1!H:H,1,0)</f>
        <v>#N/A</v>
      </c>
    </row>
    <row r="1020" spans="1:12">
      <c r="A1020" t="s">
        <v>1209</v>
      </c>
      <c r="B1020" t="s">
        <v>324</v>
      </c>
      <c r="C1020" t="s">
        <v>210</v>
      </c>
      <c r="D1020" t="s">
        <v>211</v>
      </c>
      <c r="E1020" t="s">
        <v>1216</v>
      </c>
      <c r="F1020" t="s">
        <v>73</v>
      </c>
      <c r="G1020" t="s">
        <v>1402</v>
      </c>
      <c r="H1020">
        <v>1086704</v>
      </c>
      <c r="I1020" t="s">
        <v>465</v>
      </c>
      <c r="J1020" s="14">
        <v>41813</v>
      </c>
      <c r="K1020" t="s">
        <v>1217</v>
      </c>
      <c r="L1020" t="e">
        <f>VLOOKUP(H1020,Sheet1!H:H,1,0)</f>
        <v>#N/A</v>
      </c>
    </row>
    <row r="1021" spans="1:12">
      <c r="A1021" t="s">
        <v>1209</v>
      </c>
      <c r="B1021" t="s">
        <v>324</v>
      </c>
      <c r="C1021" t="s">
        <v>210</v>
      </c>
      <c r="D1021" t="s">
        <v>287</v>
      </c>
      <c r="E1021" t="s">
        <v>1216</v>
      </c>
      <c r="F1021" t="s">
        <v>73</v>
      </c>
      <c r="G1021" t="s">
        <v>1217</v>
      </c>
      <c r="H1021">
        <v>1126204</v>
      </c>
      <c r="I1021" t="s">
        <v>1167</v>
      </c>
      <c r="J1021" s="14">
        <v>42614</v>
      </c>
      <c r="K1021" t="s">
        <v>1217</v>
      </c>
      <c r="L1021" t="e">
        <f>VLOOKUP(H1021,Sheet1!H:H,1,0)</f>
        <v>#N/A</v>
      </c>
    </row>
    <row r="1022" spans="1:12">
      <c r="A1022" t="s">
        <v>1209</v>
      </c>
      <c r="B1022" t="s">
        <v>324</v>
      </c>
      <c r="C1022" t="s">
        <v>210</v>
      </c>
      <c r="D1022" t="s">
        <v>211</v>
      </c>
      <c r="E1022" t="s">
        <v>1400</v>
      </c>
      <c r="F1022" t="s">
        <v>73</v>
      </c>
      <c r="G1022" t="s">
        <v>1439</v>
      </c>
      <c r="H1022">
        <v>1305504</v>
      </c>
      <c r="I1022" t="s">
        <v>214</v>
      </c>
      <c r="J1022" s="14">
        <v>45446</v>
      </c>
      <c r="K1022" t="s">
        <v>1402</v>
      </c>
      <c r="L1022" t="e">
        <f>VLOOKUP(H1022,Sheet1!H:H,1,0)</f>
        <v>#N/A</v>
      </c>
    </row>
    <row r="1023" spans="1:12">
      <c r="A1023" t="s">
        <v>1209</v>
      </c>
      <c r="B1023" t="s">
        <v>324</v>
      </c>
      <c r="C1023" t="s">
        <v>210</v>
      </c>
      <c r="D1023" t="s">
        <v>211</v>
      </c>
      <c r="E1023" t="s">
        <v>1400</v>
      </c>
      <c r="F1023" t="s">
        <v>73</v>
      </c>
      <c r="G1023" t="s">
        <v>1440</v>
      </c>
      <c r="H1023">
        <v>1312004</v>
      </c>
      <c r="I1023" t="s">
        <v>214</v>
      </c>
      <c r="J1023" s="14">
        <v>45474</v>
      </c>
      <c r="K1023" t="s">
        <v>1402</v>
      </c>
      <c r="L1023" t="e">
        <f>VLOOKUP(H1023,Sheet1!H:H,1,0)</f>
        <v>#N/A</v>
      </c>
    </row>
    <row r="1024" spans="1:12">
      <c r="A1024" t="s">
        <v>1209</v>
      </c>
      <c r="B1024" t="s">
        <v>324</v>
      </c>
      <c r="C1024" t="s">
        <v>210</v>
      </c>
      <c r="D1024" t="s">
        <v>287</v>
      </c>
      <c r="E1024" t="s">
        <v>830</v>
      </c>
      <c r="F1024" t="s">
        <v>73</v>
      </c>
      <c r="G1024" t="s">
        <v>1441</v>
      </c>
      <c r="H1024">
        <v>1064004</v>
      </c>
      <c r="I1024" t="s">
        <v>318</v>
      </c>
      <c r="J1024" s="14">
        <v>41395</v>
      </c>
      <c r="K1024" t="s">
        <v>1217</v>
      </c>
      <c r="L1024" t="e">
        <f>VLOOKUP(H1024,Sheet1!H:H,1,0)</f>
        <v>#N/A</v>
      </c>
    </row>
    <row r="1025" spans="1:12">
      <c r="A1025" t="s">
        <v>1209</v>
      </c>
      <c r="B1025" t="s">
        <v>324</v>
      </c>
      <c r="C1025" t="s">
        <v>210</v>
      </c>
      <c r="D1025" t="s">
        <v>211</v>
      </c>
      <c r="E1025" t="s">
        <v>1400</v>
      </c>
      <c r="F1025" t="s">
        <v>73</v>
      </c>
      <c r="G1025" t="s">
        <v>1442</v>
      </c>
      <c r="H1025">
        <v>1317504</v>
      </c>
      <c r="I1025" t="s">
        <v>214</v>
      </c>
      <c r="J1025" s="14">
        <v>45733</v>
      </c>
      <c r="K1025" t="s">
        <v>1402</v>
      </c>
      <c r="L1025" t="e">
        <f>VLOOKUP(H1025,Sheet1!H:H,1,0)</f>
        <v>#N/A</v>
      </c>
    </row>
    <row r="1026" spans="1:12">
      <c r="A1026" t="s">
        <v>1209</v>
      </c>
      <c r="B1026" t="s">
        <v>324</v>
      </c>
      <c r="C1026" t="s">
        <v>210</v>
      </c>
      <c r="D1026" t="s">
        <v>211</v>
      </c>
      <c r="E1026" t="s">
        <v>1400</v>
      </c>
      <c r="F1026" t="s">
        <v>73</v>
      </c>
      <c r="G1026" t="s">
        <v>1443</v>
      </c>
      <c r="H1026">
        <v>1275204</v>
      </c>
      <c r="I1026" t="s">
        <v>214</v>
      </c>
      <c r="J1026" s="14">
        <v>45048</v>
      </c>
      <c r="K1026" t="s">
        <v>1402</v>
      </c>
      <c r="L1026" t="e">
        <f>VLOOKUP(H1026,Sheet1!H:H,1,0)</f>
        <v>#N/A</v>
      </c>
    </row>
    <row r="1027" spans="1:12">
      <c r="A1027" t="s">
        <v>1209</v>
      </c>
      <c r="B1027" t="s">
        <v>324</v>
      </c>
      <c r="C1027" t="s">
        <v>210</v>
      </c>
      <c r="D1027" t="s">
        <v>211</v>
      </c>
      <c r="E1027" t="s">
        <v>1400</v>
      </c>
      <c r="F1027" t="s">
        <v>73</v>
      </c>
      <c r="G1027" t="s">
        <v>1444</v>
      </c>
      <c r="H1027">
        <v>1345204</v>
      </c>
      <c r="I1027" t="s">
        <v>214</v>
      </c>
      <c r="J1027" s="14">
        <v>45964</v>
      </c>
      <c r="K1027" t="s">
        <v>1402</v>
      </c>
      <c r="L1027" t="e">
        <f>VLOOKUP(H1027,Sheet1!H:H,1,0)</f>
        <v>#N/A</v>
      </c>
    </row>
    <row r="1028" spans="1:12">
      <c r="A1028" t="s">
        <v>1209</v>
      </c>
      <c r="B1028" t="s">
        <v>324</v>
      </c>
      <c r="C1028" t="s">
        <v>210</v>
      </c>
      <c r="D1028" t="s">
        <v>211</v>
      </c>
      <c r="E1028" t="s">
        <v>1400</v>
      </c>
      <c r="F1028" t="s">
        <v>73</v>
      </c>
      <c r="G1028" t="s">
        <v>1445</v>
      </c>
      <c r="H1028">
        <v>1033504</v>
      </c>
      <c r="I1028" t="s">
        <v>220</v>
      </c>
      <c r="J1028" s="14">
        <v>40718</v>
      </c>
      <c r="K1028" t="s">
        <v>1402</v>
      </c>
      <c r="L1028" t="e">
        <f>VLOOKUP(H1028,Sheet1!H:H,1,0)</f>
        <v>#N/A</v>
      </c>
    </row>
    <row r="1029" spans="1:12">
      <c r="A1029" t="s">
        <v>1209</v>
      </c>
      <c r="B1029" t="s">
        <v>324</v>
      </c>
      <c r="C1029" t="s">
        <v>210</v>
      </c>
      <c r="D1029" t="s">
        <v>211</v>
      </c>
      <c r="E1029" t="s">
        <v>1400</v>
      </c>
      <c r="F1029" t="s">
        <v>73</v>
      </c>
      <c r="G1029" t="s">
        <v>1446</v>
      </c>
      <c r="H1029">
        <v>1318504</v>
      </c>
      <c r="I1029" t="s">
        <v>214</v>
      </c>
      <c r="J1029" s="14">
        <v>45600</v>
      </c>
      <c r="K1029" t="s">
        <v>1402</v>
      </c>
      <c r="L1029" t="e">
        <f>VLOOKUP(H1029,Sheet1!H:H,1,0)</f>
        <v>#N/A</v>
      </c>
    </row>
    <row r="1030" spans="1:12">
      <c r="A1030" t="s">
        <v>1209</v>
      </c>
      <c r="B1030" t="s">
        <v>324</v>
      </c>
      <c r="C1030" t="s">
        <v>210</v>
      </c>
      <c r="D1030" t="s">
        <v>211</v>
      </c>
      <c r="E1030" t="s">
        <v>1400</v>
      </c>
      <c r="F1030" t="s">
        <v>73</v>
      </c>
      <c r="G1030" t="s">
        <v>1447</v>
      </c>
      <c r="H1030">
        <v>1305204</v>
      </c>
      <c r="I1030" t="s">
        <v>214</v>
      </c>
      <c r="J1030" s="14">
        <v>45446</v>
      </c>
      <c r="K1030" t="s">
        <v>1402</v>
      </c>
      <c r="L1030" t="e">
        <f>VLOOKUP(H1030,Sheet1!H:H,1,0)</f>
        <v>#N/A</v>
      </c>
    </row>
    <row r="1031" spans="1:12">
      <c r="A1031" t="s">
        <v>1209</v>
      </c>
      <c r="B1031" t="s">
        <v>324</v>
      </c>
      <c r="C1031" t="s">
        <v>210</v>
      </c>
      <c r="D1031" t="s">
        <v>211</v>
      </c>
      <c r="E1031" t="s">
        <v>1400</v>
      </c>
      <c r="F1031" t="s">
        <v>73</v>
      </c>
      <c r="G1031" t="s">
        <v>1448</v>
      </c>
      <c r="H1031">
        <v>1167504</v>
      </c>
      <c r="I1031" t="s">
        <v>333</v>
      </c>
      <c r="J1031" s="14">
        <v>43262</v>
      </c>
      <c r="K1031" t="s">
        <v>1402</v>
      </c>
      <c r="L1031" t="e">
        <f>VLOOKUP(H1031,Sheet1!H:H,1,0)</f>
        <v>#N/A</v>
      </c>
    </row>
    <row r="1032" spans="1:12">
      <c r="A1032" t="s">
        <v>1209</v>
      </c>
      <c r="B1032" t="s">
        <v>324</v>
      </c>
      <c r="C1032" t="s">
        <v>210</v>
      </c>
      <c r="D1032" t="s">
        <v>211</v>
      </c>
      <c r="E1032" t="s">
        <v>1400</v>
      </c>
      <c r="F1032" t="s">
        <v>73</v>
      </c>
      <c r="G1032" t="s">
        <v>1449</v>
      </c>
      <c r="H1032">
        <v>1026804</v>
      </c>
      <c r="I1032" t="s">
        <v>458</v>
      </c>
      <c r="J1032" s="14">
        <v>43528</v>
      </c>
      <c r="K1032" t="s">
        <v>1402</v>
      </c>
      <c r="L1032" t="e">
        <f>VLOOKUP(H1032,Sheet1!H:H,1,0)</f>
        <v>#N/A</v>
      </c>
    </row>
    <row r="1033" spans="1:12">
      <c r="A1033" t="s">
        <v>1209</v>
      </c>
      <c r="B1033" t="s">
        <v>324</v>
      </c>
      <c r="C1033" t="s">
        <v>210</v>
      </c>
      <c r="D1033" t="s">
        <v>211</v>
      </c>
      <c r="E1033" t="s">
        <v>1400</v>
      </c>
      <c r="F1033" t="s">
        <v>73</v>
      </c>
      <c r="G1033" t="s">
        <v>1450</v>
      </c>
      <c r="H1033">
        <v>1093204</v>
      </c>
      <c r="I1033" t="s">
        <v>638</v>
      </c>
      <c r="J1033" s="14">
        <v>41953</v>
      </c>
      <c r="K1033" t="s">
        <v>1402</v>
      </c>
      <c r="L1033" t="e">
        <f>VLOOKUP(H1033,Sheet1!H:H,1,0)</f>
        <v>#N/A</v>
      </c>
    </row>
    <row r="1034" spans="1:12">
      <c r="A1034" t="s">
        <v>1209</v>
      </c>
      <c r="B1034" t="s">
        <v>324</v>
      </c>
      <c r="C1034" t="s">
        <v>210</v>
      </c>
      <c r="D1034" t="s">
        <v>211</v>
      </c>
      <c r="E1034" t="s">
        <v>1400</v>
      </c>
      <c r="F1034" t="s">
        <v>73</v>
      </c>
      <c r="G1034" t="s">
        <v>1451</v>
      </c>
      <c r="H1034">
        <v>1253504</v>
      </c>
      <c r="I1034" t="s">
        <v>214</v>
      </c>
      <c r="J1034" s="14">
        <v>44743</v>
      </c>
      <c r="K1034" t="s">
        <v>1402</v>
      </c>
      <c r="L1034" t="e">
        <f>VLOOKUP(H1034,Sheet1!H:H,1,0)</f>
        <v>#N/A</v>
      </c>
    </row>
    <row r="1035" spans="1:12">
      <c r="A1035" t="s">
        <v>1209</v>
      </c>
      <c r="B1035" t="s">
        <v>324</v>
      </c>
      <c r="C1035" t="s">
        <v>210</v>
      </c>
      <c r="D1035" t="s">
        <v>211</v>
      </c>
      <c r="E1035" t="s">
        <v>1400</v>
      </c>
      <c r="F1035" t="s">
        <v>73</v>
      </c>
      <c r="G1035" t="s">
        <v>1452</v>
      </c>
      <c r="H1035">
        <v>1315904</v>
      </c>
      <c r="I1035" t="s">
        <v>220</v>
      </c>
      <c r="J1035" s="14">
        <v>45576</v>
      </c>
      <c r="K1035" t="s">
        <v>1402</v>
      </c>
      <c r="L1035" t="e">
        <f>VLOOKUP(H1035,Sheet1!H:H,1,0)</f>
        <v>#N/A</v>
      </c>
    </row>
    <row r="1036" spans="1:12">
      <c r="A1036" t="s">
        <v>1209</v>
      </c>
      <c r="B1036" t="s">
        <v>324</v>
      </c>
      <c r="C1036" t="s">
        <v>210</v>
      </c>
      <c r="D1036" t="s">
        <v>211</v>
      </c>
      <c r="E1036" t="s">
        <v>1400</v>
      </c>
      <c r="F1036" t="s">
        <v>73</v>
      </c>
      <c r="G1036" t="s">
        <v>1453</v>
      </c>
      <c r="H1036">
        <v>1343804</v>
      </c>
      <c r="I1036" t="s">
        <v>214</v>
      </c>
      <c r="J1036" s="14">
        <v>45946</v>
      </c>
      <c r="K1036" t="s">
        <v>1402</v>
      </c>
      <c r="L1036" t="e">
        <f>VLOOKUP(H1036,Sheet1!H:H,1,0)</f>
        <v>#N/A</v>
      </c>
    </row>
    <row r="1037" spans="1:12">
      <c r="A1037" t="s">
        <v>1209</v>
      </c>
      <c r="B1037" t="s">
        <v>324</v>
      </c>
      <c r="C1037" t="s">
        <v>210</v>
      </c>
      <c r="D1037" t="s">
        <v>211</v>
      </c>
      <c r="E1037" t="s">
        <v>1400</v>
      </c>
      <c r="F1037" t="s">
        <v>73</v>
      </c>
      <c r="G1037" t="s">
        <v>1454</v>
      </c>
      <c r="H1037">
        <v>1318104</v>
      </c>
      <c r="I1037" t="s">
        <v>214</v>
      </c>
      <c r="J1037" s="14">
        <v>45600</v>
      </c>
      <c r="K1037" t="s">
        <v>1402</v>
      </c>
      <c r="L1037" t="e">
        <f>VLOOKUP(H1037,Sheet1!H:H,1,0)</f>
        <v>#N/A</v>
      </c>
    </row>
    <row r="1038" spans="1:12">
      <c r="A1038" t="s">
        <v>1209</v>
      </c>
      <c r="B1038" t="s">
        <v>324</v>
      </c>
      <c r="C1038" t="s">
        <v>210</v>
      </c>
      <c r="D1038" t="s">
        <v>211</v>
      </c>
      <c r="E1038" t="s">
        <v>1400</v>
      </c>
      <c r="F1038" t="s">
        <v>73</v>
      </c>
      <c r="G1038" t="s">
        <v>1455</v>
      </c>
      <c r="H1038">
        <v>1337504</v>
      </c>
      <c r="I1038" t="s">
        <v>220</v>
      </c>
      <c r="J1038" s="14">
        <v>45964</v>
      </c>
      <c r="K1038" t="s">
        <v>1402</v>
      </c>
      <c r="L1038" t="e">
        <f>VLOOKUP(H1038,Sheet1!H:H,1,0)</f>
        <v>#N/A</v>
      </c>
    </row>
    <row r="1039" spans="1:12">
      <c r="A1039" t="s">
        <v>1209</v>
      </c>
      <c r="B1039" t="s">
        <v>324</v>
      </c>
      <c r="C1039" t="s">
        <v>210</v>
      </c>
      <c r="D1039" t="s">
        <v>211</v>
      </c>
      <c r="E1039" t="s">
        <v>1400</v>
      </c>
      <c r="F1039" t="s">
        <v>73</v>
      </c>
      <c r="G1039" t="s">
        <v>1456</v>
      </c>
      <c r="H1039">
        <v>1307204</v>
      </c>
      <c r="I1039" t="s">
        <v>214</v>
      </c>
      <c r="J1039" s="14">
        <v>45460</v>
      </c>
      <c r="K1039" t="s">
        <v>1402</v>
      </c>
      <c r="L1039" t="e">
        <f>VLOOKUP(H1039,Sheet1!H:H,1,0)</f>
        <v>#N/A</v>
      </c>
    </row>
    <row r="1040" spans="1:12">
      <c r="A1040" t="s">
        <v>1209</v>
      </c>
      <c r="B1040" t="s">
        <v>324</v>
      </c>
      <c r="C1040" t="s">
        <v>210</v>
      </c>
      <c r="D1040" t="s">
        <v>211</v>
      </c>
      <c r="E1040" t="s">
        <v>1400</v>
      </c>
      <c r="F1040" t="s">
        <v>73</v>
      </c>
      <c r="G1040" t="s">
        <v>1457</v>
      </c>
      <c r="H1040">
        <v>1316204</v>
      </c>
      <c r="I1040" t="s">
        <v>424</v>
      </c>
      <c r="J1040" s="14">
        <v>45582</v>
      </c>
      <c r="K1040" t="s">
        <v>1402</v>
      </c>
      <c r="L1040" t="e">
        <f>VLOOKUP(H1040,Sheet1!H:H,1,0)</f>
        <v>#N/A</v>
      </c>
    </row>
    <row r="1041" spans="1:12">
      <c r="A1041" t="s">
        <v>1209</v>
      </c>
      <c r="B1041" t="s">
        <v>324</v>
      </c>
      <c r="C1041" t="s">
        <v>210</v>
      </c>
      <c r="D1041" t="s">
        <v>211</v>
      </c>
      <c r="E1041" t="s">
        <v>1400</v>
      </c>
      <c r="F1041" t="s">
        <v>73</v>
      </c>
      <c r="G1041" t="s">
        <v>1458</v>
      </c>
      <c r="H1041">
        <v>1113304</v>
      </c>
      <c r="I1041" t="s">
        <v>1459</v>
      </c>
      <c r="J1041" s="14">
        <v>42331</v>
      </c>
      <c r="K1041" t="s">
        <v>1402</v>
      </c>
      <c r="L1041" t="e">
        <f>VLOOKUP(H1041,Sheet1!H:H,1,0)</f>
        <v>#N/A</v>
      </c>
    </row>
    <row r="1042" spans="1:12">
      <c r="A1042" t="s">
        <v>1209</v>
      </c>
      <c r="B1042" t="s">
        <v>324</v>
      </c>
      <c r="C1042" t="s">
        <v>210</v>
      </c>
      <c r="D1042" t="s">
        <v>211</v>
      </c>
      <c r="E1042" t="s">
        <v>1400</v>
      </c>
      <c r="F1042" t="s">
        <v>73</v>
      </c>
      <c r="G1042" t="s">
        <v>1460</v>
      </c>
      <c r="H1042">
        <v>1317904</v>
      </c>
      <c r="I1042" t="s">
        <v>214</v>
      </c>
      <c r="J1042" s="14">
        <v>45789</v>
      </c>
      <c r="K1042" t="s">
        <v>1402</v>
      </c>
      <c r="L1042" t="e">
        <f>VLOOKUP(H1042,Sheet1!H:H,1,0)</f>
        <v>#N/A</v>
      </c>
    </row>
    <row r="1043" spans="1:12">
      <c r="A1043" t="s">
        <v>1209</v>
      </c>
      <c r="B1043" t="s">
        <v>324</v>
      </c>
      <c r="C1043" t="s">
        <v>210</v>
      </c>
      <c r="D1043" t="s">
        <v>211</v>
      </c>
      <c r="E1043" t="s">
        <v>1400</v>
      </c>
      <c r="F1043" t="s">
        <v>73</v>
      </c>
      <c r="G1043" t="s">
        <v>1461</v>
      </c>
      <c r="H1043">
        <v>1344804</v>
      </c>
      <c r="I1043" t="s">
        <v>214</v>
      </c>
      <c r="J1043" s="14">
        <v>45964</v>
      </c>
      <c r="K1043" t="s">
        <v>1402</v>
      </c>
      <c r="L1043" t="e">
        <f>VLOOKUP(H1043,Sheet1!H:H,1,0)</f>
        <v>#N/A</v>
      </c>
    </row>
    <row r="1044" spans="1:12">
      <c r="A1044" t="s">
        <v>1209</v>
      </c>
      <c r="B1044" t="s">
        <v>324</v>
      </c>
      <c r="C1044" t="s">
        <v>210</v>
      </c>
      <c r="D1044" t="s">
        <v>211</v>
      </c>
      <c r="E1044" t="s">
        <v>1400</v>
      </c>
      <c r="F1044" t="s">
        <v>73</v>
      </c>
      <c r="G1044" t="s">
        <v>1462</v>
      </c>
      <c r="H1044">
        <v>1304804</v>
      </c>
      <c r="I1044" t="s">
        <v>214</v>
      </c>
      <c r="J1044" s="14">
        <v>45435</v>
      </c>
      <c r="K1044" t="s">
        <v>1402</v>
      </c>
      <c r="L1044" t="e">
        <f>VLOOKUP(H1044,Sheet1!H:H,1,0)</f>
        <v>#N/A</v>
      </c>
    </row>
    <row r="1045" spans="1:12">
      <c r="A1045" t="s">
        <v>1209</v>
      </c>
      <c r="B1045" t="s">
        <v>324</v>
      </c>
      <c r="C1045" t="s">
        <v>210</v>
      </c>
      <c r="D1045" t="s">
        <v>211</v>
      </c>
      <c r="E1045" t="s">
        <v>1400</v>
      </c>
      <c r="F1045" t="s">
        <v>73</v>
      </c>
      <c r="G1045" t="s">
        <v>1463</v>
      </c>
      <c r="H1045">
        <v>1306304</v>
      </c>
      <c r="I1045" t="s">
        <v>214</v>
      </c>
      <c r="J1045" s="14">
        <v>45460</v>
      </c>
      <c r="K1045" t="s">
        <v>1402</v>
      </c>
      <c r="L1045" t="e">
        <f>VLOOKUP(H1045,Sheet1!H:H,1,0)</f>
        <v>#N/A</v>
      </c>
    </row>
    <row r="1046" spans="1:12">
      <c r="A1046" t="s">
        <v>1209</v>
      </c>
      <c r="B1046" t="s">
        <v>324</v>
      </c>
      <c r="C1046" t="s">
        <v>210</v>
      </c>
      <c r="D1046" t="s">
        <v>211</v>
      </c>
      <c r="E1046" t="s">
        <v>1400</v>
      </c>
      <c r="F1046" t="s">
        <v>73</v>
      </c>
      <c r="G1046" t="s">
        <v>1464</v>
      </c>
      <c r="H1046">
        <v>1328604</v>
      </c>
      <c r="I1046" t="s">
        <v>220</v>
      </c>
      <c r="J1046" s="14">
        <v>45614</v>
      </c>
      <c r="K1046" t="s">
        <v>1402</v>
      </c>
      <c r="L1046" t="e">
        <f>VLOOKUP(H1046,Sheet1!H:H,1,0)</f>
        <v>#N/A</v>
      </c>
    </row>
    <row r="1047" spans="1:12">
      <c r="A1047" t="s">
        <v>1209</v>
      </c>
      <c r="B1047" t="s">
        <v>324</v>
      </c>
      <c r="C1047" t="s">
        <v>210</v>
      </c>
      <c r="D1047" t="s">
        <v>211</v>
      </c>
      <c r="E1047" t="s">
        <v>1400</v>
      </c>
      <c r="F1047" t="s">
        <v>73</v>
      </c>
      <c r="G1047" t="s">
        <v>1465</v>
      </c>
      <c r="H1047">
        <v>1178104</v>
      </c>
      <c r="I1047" t="s">
        <v>422</v>
      </c>
      <c r="J1047" s="14">
        <v>43416</v>
      </c>
      <c r="K1047" t="s">
        <v>1402</v>
      </c>
      <c r="L1047" t="e">
        <f>VLOOKUP(H1047,Sheet1!H:H,1,0)</f>
        <v>#N/A</v>
      </c>
    </row>
    <row r="1048" spans="1:12">
      <c r="A1048" t="s">
        <v>1209</v>
      </c>
      <c r="B1048" t="s">
        <v>324</v>
      </c>
      <c r="C1048" t="s">
        <v>210</v>
      </c>
      <c r="D1048" t="s">
        <v>211</v>
      </c>
      <c r="E1048" t="s">
        <v>1400</v>
      </c>
      <c r="F1048" t="s">
        <v>73</v>
      </c>
      <c r="G1048" t="s">
        <v>1466</v>
      </c>
      <c r="H1048">
        <v>1300004</v>
      </c>
      <c r="I1048" t="s">
        <v>214</v>
      </c>
      <c r="J1048" s="14">
        <v>45582</v>
      </c>
      <c r="K1048" t="s">
        <v>1402</v>
      </c>
      <c r="L1048" t="e">
        <f>VLOOKUP(H1048,Sheet1!H:H,1,0)</f>
        <v>#N/A</v>
      </c>
    </row>
    <row r="1049" spans="1:12">
      <c r="A1049" t="s">
        <v>1209</v>
      </c>
      <c r="B1049" t="s">
        <v>324</v>
      </c>
      <c r="C1049" t="s">
        <v>210</v>
      </c>
      <c r="D1049" t="s">
        <v>211</v>
      </c>
      <c r="E1049" t="s">
        <v>1400</v>
      </c>
      <c r="F1049" t="s">
        <v>73</v>
      </c>
      <c r="G1049" t="s">
        <v>1467</v>
      </c>
      <c r="H1049">
        <v>1332604</v>
      </c>
      <c r="I1049" t="s">
        <v>214</v>
      </c>
      <c r="J1049" s="14">
        <v>45712</v>
      </c>
      <c r="K1049" t="s">
        <v>1402</v>
      </c>
      <c r="L1049" t="e">
        <f>VLOOKUP(H1049,Sheet1!H:H,1,0)</f>
        <v>#N/A</v>
      </c>
    </row>
    <row r="1050" spans="1:12">
      <c r="A1050" t="s">
        <v>1209</v>
      </c>
      <c r="B1050" t="s">
        <v>324</v>
      </c>
      <c r="C1050" t="s">
        <v>210</v>
      </c>
      <c r="D1050" t="s">
        <v>211</v>
      </c>
      <c r="E1050" t="s">
        <v>1400</v>
      </c>
      <c r="F1050" t="s">
        <v>73</v>
      </c>
      <c r="G1050" t="s">
        <v>1468</v>
      </c>
      <c r="H1050">
        <v>1248204</v>
      </c>
      <c r="I1050" t="s">
        <v>220</v>
      </c>
      <c r="J1050" s="14">
        <v>44718</v>
      </c>
      <c r="K1050" t="s">
        <v>1402</v>
      </c>
      <c r="L1050" t="e">
        <f>VLOOKUP(H1050,Sheet1!H:H,1,0)</f>
        <v>#N/A</v>
      </c>
    </row>
    <row r="1051" spans="1:12">
      <c r="A1051" t="s">
        <v>1209</v>
      </c>
      <c r="B1051" t="s">
        <v>324</v>
      </c>
      <c r="C1051" t="s">
        <v>210</v>
      </c>
      <c r="D1051" t="s">
        <v>211</v>
      </c>
      <c r="E1051" t="s">
        <v>1400</v>
      </c>
      <c r="F1051" t="s">
        <v>73</v>
      </c>
      <c r="G1051" t="s">
        <v>1469</v>
      </c>
      <c r="H1051">
        <v>1359504</v>
      </c>
      <c r="I1051" t="s">
        <v>214</v>
      </c>
      <c r="J1051" s="14">
        <v>46097</v>
      </c>
      <c r="K1051" t="s">
        <v>1402</v>
      </c>
      <c r="L1051" t="e">
        <f>VLOOKUP(H1051,Sheet1!H:H,1,0)</f>
        <v>#N/A</v>
      </c>
    </row>
    <row r="1052" spans="1:12">
      <c r="A1052" t="s">
        <v>1209</v>
      </c>
      <c r="B1052" t="s">
        <v>324</v>
      </c>
      <c r="C1052" t="s">
        <v>210</v>
      </c>
      <c r="D1052" t="s">
        <v>211</v>
      </c>
      <c r="E1052" t="s">
        <v>1400</v>
      </c>
      <c r="F1052" t="s">
        <v>73</v>
      </c>
      <c r="G1052" t="s">
        <v>1470</v>
      </c>
      <c r="H1052">
        <v>1268104</v>
      </c>
      <c r="I1052" t="s">
        <v>424</v>
      </c>
      <c r="J1052" s="14">
        <v>45059</v>
      </c>
      <c r="K1052" t="s">
        <v>1402</v>
      </c>
      <c r="L1052" t="e">
        <f>VLOOKUP(H1052,Sheet1!H:H,1,0)</f>
        <v>#N/A</v>
      </c>
    </row>
    <row r="1053" spans="1:12">
      <c r="A1053" t="s">
        <v>1471</v>
      </c>
      <c r="B1053" t="s">
        <v>209</v>
      </c>
      <c r="C1053" t="s">
        <v>210</v>
      </c>
      <c r="D1053" t="s">
        <v>211</v>
      </c>
      <c r="E1053" t="s">
        <v>1472</v>
      </c>
      <c r="F1053" t="s">
        <v>1473</v>
      </c>
      <c r="G1053" t="s">
        <v>1474</v>
      </c>
      <c r="H1053">
        <v>1628105</v>
      </c>
      <c r="I1053" t="s">
        <v>214</v>
      </c>
      <c r="J1053" s="14">
        <v>46097</v>
      </c>
      <c r="K1053" t="s">
        <v>1475</v>
      </c>
      <c r="L1053" t="e">
        <f>VLOOKUP(H1053,Sheet1!H:H,1,0)</f>
        <v>#N/A</v>
      </c>
    </row>
    <row r="1054" spans="1:12">
      <c r="A1054" t="s">
        <v>1471</v>
      </c>
      <c r="B1054" t="s">
        <v>209</v>
      </c>
      <c r="C1054" t="s">
        <v>210</v>
      </c>
      <c r="D1054" t="s">
        <v>211</v>
      </c>
      <c r="E1054" t="s">
        <v>1472</v>
      </c>
      <c r="F1054" t="s">
        <v>1473</v>
      </c>
      <c r="G1054" t="s">
        <v>1476</v>
      </c>
      <c r="H1054">
        <v>1554805</v>
      </c>
      <c r="I1054" t="s">
        <v>214</v>
      </c>
      <c r="J1054" s="14">
        <v>45338</v>
      </c>
      <c r="K1054" t="s">
        <v>1475</v>
      </c>
      <c r="L1054" t="e">
        <f>VLOOKUP(H1054,Sheet1!H:H,1,0)</f>
        <v>#N/A</v>
      </c>
    </row>
    <row r="1055" spans="1:12">
      <c r="A1055" t="s">
        <v>1471</v>
      </c>
      <c r="B1055" t="s">
        <v>209</v>
      </c>
      <c r="C1055" t="s">
        <v>210</v>
      </c>
      <c r="D1055" t="s">
        <v>211</v>
      </c>
      <c r="E1055" t="s">
        <v>1472</v>
      </c>
      <c r="F1055" t="s">
        <v>1473</v>
      </c>
      <c r="G1055" t="s">
        <v>1477</v>
      </c>
      <c r="H1055">
        <v>1591005</v>
      </c>
      <c r="I1055" t="s">
        <v>214</v>
      </c>
      <c r="J1055" s="14">
        <v>45748</v>
      </c>
      <c r="K1055" t="s">
        <v>1475</v>
      </c>
      <c r="L1055" t="e">
        <f>VLOOKUP(H1055,Sheet1!H:H,1,0)</f>
        <v>#N/A</v>
      </c>
    </row>
    <row r="1056" spans="1:12">
      <c r="A1056" t="s">
        <v>1471</v>
      </c>
      <c r="B1056" t="s">
        <v>209</v>
      </c>
      <c r="C1056" t="s">
        <v>210</v>
      </c>
      <c r="D1056" t="s">
        <v>211</v>
      </c>
      <c r="E1056" t="s">
        <v>1472</v>
      </c>
      <c r="F1056" t="s">
        <v>1473</v>
      </c>
      <c r="G1056" t="s">
        <v>1478</v>
      </c>
      <c r="H1056">
        <v>1602605</v>
      </c>
      <c r="I1056" t="s">
        <v>214</v>
      </c>
      <c r="J1056" s="14">
        <v>45985</v>
      </c>
      <c r="K1056" t="s">
        <v>1475</v>
      </c>
      <c r="L1056" t="e">
        <f>VLOOKUP(H1056,Sheet1!H:H,1,0)</f>
        <v>#N/A</v>
      </c>
    </row>
    <row r="1057" spans="1:12">
      <c r="A1057" t="s">
        <v>1471</v>
      </c>
      <c r="B1057" t="s">
        <v>209</v>
      </c>
      <c r="C1057" t="s">
        <v>210</v>
      </c>
      <c r="D1057" t="s">
        <v>287</v>
      </c>
      <c r="E1057" t="s">
        <v>1479</v>
      </c>
      <c r="F1057" t="s">
        <v>1473</v>
      </c>
      <c r="G1057" t="s">
        <v>1480</v>
      </c>
      <c r="H1057">
        <v>1523705</v>
      </c>
      <c r="I1057" t="s">
        <v>731</v>
      </c>
      <c r="J1057" s="14">
        <v>45180</v>
      </c>
      <c r="K1057" t="s">
        <v>1481</v>
      </c>
      <c r="L1057" t="e">
        <f>VLOOKUP(H1057,Sheet1!H:H,1,0)</f>
        <v>#N/A</v>
      </c>
    </row>
    <row r="1058" spans="1:12">
      <c r="A1058" t="s">
        <v>1471</v>
      </c>
      <c r="B1058" t="s">
        <v>209</v>
      </c>
      <c r="C1058" t="s">
        <v>210</v>
      </c>
      <c r="D1058" t="s">
        <v>211</v>
      </c>
      <c r="E1058" t="s">
        <v>1472</v>
      </c>
      <c r="F1058" t="s">
        <v>1473</v>
      </c>
      <c r="G1058" t="s">
        <v>1482</v>
      </c>
      <c r="H1058">
        <v>1455805</v>
      </c>
      <c r="I1058" t="s">
        <v>243</v>
      </c>
      <c r="J1058" s="14">
        <v>45367</v>
      </c>
      <c r="K1058" t="s">
        <v>1475</v>
      </c>
      <c r="L1058" t="e">
        <f>VLOOKUP(H1058,Sheet1!H:H,1,0)</f>
        <v>#N/A</v>
      </c>
    </row>
    <row r="1059" spans="1:12">
      <c r="A1059" t="s">
        <v>1471</v>
      </c>
      <c r="B1059" t="s">
        <v>209</v>
      </c>
      <c r="C1059" t="s">
        <v>210</v>
      </c>
      <c r="D1059" t="s">
        <v>211</v>
      </c>
      <c r="E1059" t="s">
        <v>1472</v>
      </c>
      <c r="F1059" t="s">
        <v>1473</v>
      </c>
      <c r="G1059" t="s">
        <v>1483</v>
      </c>
      <c r="H1059">
        <v>1621905</v>
      </c>
      <c r="I1059" t="s">
        <v>220</v>
      </c>
      <c r="J1059" s="14">
        <v>45985</v>
      </c>
      <c r="K1059" t="s">
        <v>1475</v>
      </c>
      <c r="L1059" t="e">
        <f>VLOOKUP(H1059,Sheet1!H:H,1,0)</f>
        <v>#N/A</v>
      </c>
    </row>
    <row r="1060" spans="1:12">
      <c r="A1060" t="s">
        <v>1471</v>
      </c>
      <c r="B1060" t="s">
        <v>209</v>
      </c>
      <c r="C1060" t="s">
        <v>210</v>
      </c>
      <c r="D1060" t="s">
        <v>211</v>
      </c>
      <c r="E1060" t="s">
        <v>1472</v>
      </c>
      <c r="F1060" t="s">
        <v>1473</v>
      </c>
      <c r="G1060" t="s">
        <v>1484</v>
      </c>
      <c r="H1060">
        <v>1296305</v>
      </c>
      <c r="I1060" t="s">
        <v>222</v>
      </c>
      <c r="J1060" s="14">
        <v>42441</v>
      </c>
      <c r="K1060" t="s">
        <v>1475</v>
      </c>
      <c r="L1060" t="e">
        <f>VLOOKUP(H1060,Sheet1!H:H,1,0)</f>
        <v>#N/A</v>
      </c>
    </row>
    <row r="1061" spans="1:12">
      <c r="A1061" t="s">
        <v>1471</v>
      </c>
      <c r="B1061" t="s">
        <v>209</v>
      </c>
      <c r="C1061" t="s">
        <v>210</v>
      </c>
      <c r="D1061" t="s">
        <v>211</v>
      </c>
      <c r="E1061" t="s">
        <v>1472</v>
      </c>
      <c r="F1061" t="s">
        <v>1473</v>
      </c>
      <c r="G1061" t="s">
        <v>1485</v>
      </c>
      <c r="H1061">
        <v>1628205</v>
      </c>
      <c r="I1061" t="s">
        <v>214</v>
      </c>
      <c r="J1061" s="14">
        <v>46100</v>
      </c>
      <c r="K1061" t="s">
        <v>1475</v>
      </c>
      <c r="L1061" t="e">
        <f>VLOOKUP(H1061,Sheet1!H:H,1,0)</f>
        <v>#N/A</v>
      </c>
    </row>
    <row r="1062" spans="1:12">
      <c r="A1062" t="s">
        <v>1471</v>
      </c>
      <c r="B1062" t="s">
        <v>209</v>
      </c>
      <c r="C1062" t="s">
        <v>210</v>
      </c>
      <c r="D1062" t="s">
        <v>211</v>
      </c>
      <c r="E1062" t="s">
        <v>1472</v>
      </c>
      <c r="F1062" t="s">
        <v>1473</v>
      </c>
      <c r="G1062" t="s">
        <v>1486</v>
      </c>
      <c r="H1062">
        <v>1591405</v>
      </c>
      <c r="I1062" t="s">
        <v>214</v>
      </c>
      <c r="J1062" s="14">
        <v>45614</v>
      </c>
      <c r="K1062" t="s">
        <v>1475</v>
      </c>
      <c r="L1062" t="e">
        <f>VLOOKUP(H1062,Sheet1!H:H,1,0)</f>
        <v>#N/A</v>
      </c>
    </row>
    <row r="1063" spans="1:12">
      <c r="A1063" t="s">
        <v>1471</v>
      </c>
      <c r="B1063" t="s">
        <v>209</v>
      </c>
      <c r="C1063" t="s">
        <v>210</v>
      </c>
      <c r="D1063" t="s">
        <v>211</v>
      </c>
      <c r="E1063" t="s">
        <v>1479</v>
      </c>
      <c r="F1063" t="s">
        <v>1473</v>
      </c>
      <c r="G1063" t="s">
        <v>1475</v>
      </c>
      <c r="H1063">
        <v>1366005</v>
      </c>
      <c r="I1063" t="s">
        <v>225</v>
      </c>
      <c r="J1063" s="14">
        <v>42901</v>
      </c>
      <c r="K1063" t="s">
        <v>1481</v>
      </c>
      <c r="L1063" t="e">
        <f>VLOOKUP(H1063,Sheet1!H:H,1,0)</f>
        <v>#N/A</v>
      </c>
    </row>
    <row r="1064" spans="1:12">
      <c r="A1064" t="s">
        <v>1471</v>
      </c>
      <c r="B1064" t="s">
        <v>209</v>
      </c>
      <c r="C1064" t="s">
        <v>210</v>
      </c>
      <c r="D1064" t="s">
        <v>211</v>
      </c>
      <c r="E1064" t="s">
        <v>1472</v>
      </c>
      <c r="F1064" t="s">
        <v>1473</v>
      </c>
      <c r="G1064" t="s">
        <v>1487</v>
      </c>
      <c r="H1064">
        <v>1545505</v>
      </c>
      <c r="I1064" t="s">
        <v>727</v>
      </c>
      <c r="J1064" s="14">
        <v>45209</v>
      </c>
      <c r="K1064" t="s">
        <v>1475</v>
      </c>
      <c r="L1064" t="e">
        <f>VLOOKUP(H1064,Sheet1!H:H,1,0)</f>
        <v>#N/A</v>
      </c>
    </row>
    <row r="1065" spans="1:12">
      <c r="A1065" t="s">
        <v>1471</v>
      </c>
      <c r="B1065" t="s">
        <v>209</v>
      </c>
      <c r="C1065" t="s">
        <v>210</v>
      </c>
      <c r="D1065" t="s">
        <v>287</v>
      </c>
      <c r="E1065" t="s">
        <v>1479</v>
      </c>
      <c r="F1065" t="s">
        <v>1473</v>
      </c>
      <c r="G1065" t="s">
        <v>1488</v>
      </c>
      <c r="H1065">
        <v>1445905</v>
      </c>
      <c r="I1065" t="s">
        <v>1489</v>
      </c>
      <c r="J1065" s="14">
        <v>44059</v>
      </c>
      <c r="K1065" t="s">
        <v>1481</v>
      </c>
      <c r="L1065" t="e">
        <f>VLOOKUP(H1065,Sheet1!H:H,1,0)</f>
        <v>#N/A</v>
      </c>
    </row>
    <row r="1066" spans="1:12">
      <c r="A1066" t="s">
        <v>1471</v>
      </c>
      <c r="B1066" t="s">
        <v>286</v>
      </c>
      <c r="C1066" t="s">
        <v>210</v>
      </c>
      <c r="D1066" t="s">
        <v>211</v>
      </c>
      <c r="E1066" t="s">
        <v>1490</v>
      </c>
      <c r="F1066" t="s">
        <v>76</v>
      </c>
      <c r="G1066" t="s">
        <v>1491</v>
      </c>
      <c r="H1066">
        <v>1602405</v>
      </c>
      <c r="I1066" t="s">
        <v>214</v>
      </c>
      <c r="J1066" s="14">
        <v>45824</v>
      </c>
      <c r="K1066" t="s">
        <v>1492</v>
      </c>
      <c r="L1066" t="e">
        <f>VLOOKUP(H1066,Sheet1!H:H,1,0)</f>
        <v>#N/A</v>
      </c>
    </row>
    <row r="1067" spans="1:12">
      <c r="A1067" t="s">
        <v>1471</v>
      </c>
      <c r="B1067" t="s">
        <v>286</v>
      </c>
      <c r="C1067" t="s">
        <v>210</v>
      </c>
      <c r="D1067" t="s">
        <v>211</v>
      </c>
      <c r="E1067" t="s">
        <v>1490</v>
      </c>
      <c r="F1067" t="s">
        <v>76</v>
      </c>
      <c r="G1067" t="s">
        <v>1493</v>
      </c>
      <c r="H1067">
        <v>1299805</v>
      </c>
      <c r="I1067" t="s">
        <v>222</v>
      </c>
      <c r="J1067" s="14">
        <v>43617</v>
      </c>
      <c r="K1067" t="s">
        <v>1492</v>
      </c>
      <c r="L1067" t="e">
        <f>VLOOKUP(H1067,Sheet1!H:H,1,0)</f>
        <v>#N/A</v>
      </c>
    </row>
    <row r="1068" spans="1:12">
      <c r="A1068" t="s">
        <v>1471</v>
      </c>
      <c r="B1068" t="s">
        <v>286</v>
      </c>
      <c r="C1068" t="s">
        <v>210</v>
      </c>
      <c r="D1068" t="s">
        <v>211</v>
      </c>
      <c r="E1068" t="s">
        <v>1490</v>
      </c>
      <c r="F1068" t="s">
        <v>76</v>
      </c>
      <c r="G1068" t="s">
        <v>1494</v>
      </c>
      <c r="H1068">
        <v>1601905</v>
      </c>
      <c r="I1068" t="s">
        <v>214</v>
      </c>
      <c r="J1068" s="14">
        <v>45831</v>
      </c>
      <c r="K1068" t="s">
        <v>1492</v>
      </c>
      <c r="L1068" t="e">
        <f>VLOOKUP(H1068,Sheet1!H:H,1,0)</f>
        <v>#N/A</v>
      </c>
    </row>
    <row r="1069" spans="1:12">
      <c r="A1069" t="s">
        <v>1471</v>
      </c>
      <c r="B1069" t="s">
        <v>286</v>
      </c>
      <c r="C1069" t="s">
        <v>210</v>
      </c>
      <c r="D1069" t="s">
        <v>211</v>
      </c>
      <c r="E1069" t="s">
        <v>1490</v>
      </c>
      <c r="F1069" t="s">
        <v>76</v>
      </c>
      <c r="G1069" t="s">
        <v>1495</v>
      </c>
      <c r="H1069">
        <v>1545405</v>
      </c>
      <c r="I1069" t="s">
        <v>214</v>
      </c>
      <c r="J1069" s="14">
        <v>45208</v>
      </c>
      <c r="K1069" t="s">
        <v>1492</v>
      </c>
      <c r="L1069" t="e">
        <f>VLOOKUP(H1069,Sheet1!H:H,1,0)</f>
        <v>#N/A</v>
      </c>
    </row>
    <row r="1070" spans="1:12">
      <c r="A1070" t="s">
        <v>1471</v>
      </c>
      <c r="B1070" t="s">
        <v>286</v>
      </c>
      <c r="C1070" t="s">
        <v>210</v>
      </c>
      <c r="D1070" t="s">
        <v>287</v>
      </c>
      <c r="E1070" t="s">
        <v>1479</v>
      </c>
      <c r="F1070" t="s">
        <v>76</v>
      </c>
      <c r="G1070" t="s">
        <v>1496</v>
      </c>
      <c r="H1070">
        <v>1595005</v>
      </c>
      <c r="I1070" t="s">
        <v>295</v>
      </c>
      <c r="J1070" s="14">
        <v>45719</v>
      </c>
      <c r="K1070" t="s">
        <v>1481</v>
      </c>
      <c r="L1070" t="e">
        <f>VLOOKUP(H1070,Sheet1!H:H,1,0)</f>
        <v>#N/A</v>
      </c>
    </row>
    <row r="1071" spans="1:12">
      <c r="A1071" t="s">
        <v>1471</v>
      </c>
      <c r="B1071" t="s">
        <v>286</v>
      </c>
      <c r="C1071" t="s">
        <v>210</v>
      </c>
      <c r="D1071" t="s">
        <v>211</v>
      </c>
      <c r="E1071" t="s">
        <v>1490</v>
      </c>
      <c r="F1071" t="s">
        <v>76</v>
      </c>
      <c r="G1071" t="s">
        <v>1497</v>
      </c>
      <c r="H1071">
        <v>1590805</v>
      </c>
      <c r="I1071" t="s">
        <v>214</v>
      </c>
      <c r="J1071" s="14">
        <v>45614</v>
      </c>
      <c r="K1071" t="s">
        <v>1492</v>
      </c>
      <c r="L1071" t="e">
        <f>VLOOKUP(H1071,Sheet1!H:H,1,0)</f>
        <v>#N/A</v>
      </c>
    </row>
    <row r="1072" spans="1:12">
      <c r="A1072" t="s">
        <v>1471</v>
      </c>
      <c r="B1072" t="s">
        <v>286</v>
      </c>
      <c r="C1072" t="s">
        <v>210</v>
      </c>
      <c r="D1072" t="s">
        <v>211</v>
      </c>
      <c r="E1072" t="s">
        <v>1479</v>
      </c>
      <c r="F1072" t="s">
        <v>76</v>
      </c>
      <c r="G1072" t="s">
        <v>1492</v>
      </c>
      <c r="H1072">
        <v>1300005</v>
      </c>
      <c r="I1072" t="s">
        <v>225</v>
      </c>
      <c r="J1072" s="14">
        <v>42450</v>
      </c>
      <c r="K1072" t="s">
        <v>1481</v>
      </c>
      <c r="L1072" t="e">
        <f>VLOOKUP(H1072,Sheet1!H:H,1,0)</f>
        <v>#N/A</v>
      </c>
    </row>
    <row r="1073" spans="1:12">
      <c r="A1073" t="s">
        <v>1471</v>
      </c>
      <c r="B1073" t="s">
        <v>286</v>
      </c>
      <c r="C1073" t="s">
        <v>210</v>
      </c>
      <c r="D1073" t="s">
        <v>211</v>
      </c>
      <c r="E1073" t="s">
        <v>1490</v>
      </c>
      <c r="F1073" t="s">
        <v>76</v>
      </c>
      <c r="G1073" t="s">
        <v>1498</v>
      </c>
      <c r="H1073">
        <v>1561705</v>
      </c>
      <c r="I1073" t="s">
        <v>214</v>
      </c>
      <c r="J1073" s="14">
        <v>45356</v>
      </c>
      <c r="K1073" t="s">
        <v>1492</v>
      </c>
      <c r="L1073" t="e">
        <f>VLOOKUP(H1073,Sheet1!H:H,1,0)</f>
        <v>#N/A</v>
      </c>
    </row>
    <row r="1074" spans="1:12">
      <c r="A1074" t="s">
        <v>1471</v>
      </c>
      <c r="B1074" t="s">
        <v>286</v>
      </c>
      <c r="C1074" t="s">
        <v>210</v>
      </c>
      <c r="D1074" t="s">
        <v>211</v>
      </c>
      <c r="E1074" t="s">
        <v>1490</v>
      </c>
      <c r="F1074" t="s">
        <v>76</v>
      </c>
      <c r="G1074" t="s">
        <v>1499</v>
      </c>
      <c r="H1074">
        <v>1478205</v>
      </c>
      <c r="I1074" t="s">
        <v>243</v>
      </c>
      <c r="J1074" s="14">
        <v>44501</v>
      </c>
      <c r="K1074" t="s">
        <v>1492</v>
      </c>
      <c r="L1074" t="e">
        <f>VLOOKUP(H1074,Sheet1!H:H,1,0)</f>
        <v>#N/A</v>
      </c>
    </row>
    <row r="1075" spans="1:12">
      <c r="A1075" t="s">
        <v>1471</v>
      </c>
      <c r="B1075" t="s">
        <v>286</v>
      </c>
      <c r="C1075" t="s">
        <v>210</v>
      </c>
      <c r="D1075" t="s">
        <v>211</v>
      </c>
      <c r="E1075" t="s">
        <v>1490</v>
      </c>
      <c r="F1075" t="s">
        <v>76</v>
      </c>
      <c r="G1075" t="s">
        <v>1500</v>
      </c>
      <c r="H1075">
        <v>1628005</v>
      </c>
      <c r="I1075" t="s">
        <v>214</v>
      </c>
      <c r="J1075" s="14">
        <v>46097</v>
      </c>
      <c r="K1075" t="s">
        <v>1492</v>
      </c>
      <c r="L1075" t="e">
        <f>VLOOKUP(H1075,Sheet1!H:H,1,0)</f>
        <v>#N/A</v>
      </c>
    </row>
    <row r="1076" spans="1:12">
      <c r="A1076" t="s">
        <v>1471</v>
      </c>
      <c r="B1076" t="s">
        <v>286</v>
      </c>
      <c r="C1076" t="s">
        <v>210</v>
      </c>
      <c r="D1076" t="s">
        <v>211</v>
      </c>
      <c r="E1076" t="s">
        <v>1490</v>
      </c>
      <c r="F1076" t="s">
        <v>76</v>
      </c>
      <c r="G1076" t="s">
        <v>1501</v>
      </c>
      <c r="H1076">
        <v>1622105</v>
      </c>
      <c r="I1076" t="s">
        <v>220</v>
      </c>
      <c r="J1076" s="14">
        <v>45987</v>
      </c>
      <c r="K1076" t="s">
        <v>1492</v>
      </c>
      <c r="L1076" t="e">
        <f>VLOOKUP(H1076,Sheet1!H:H,1,0)</f>
        <v>#N/A</v>
      </c>
    </row>
    <row r="1077" spans="1:12">
      <c r="A1077" t="s">
        <v>1471</v>
      </c>
      <c r="B1077" t="s">
        <v>286</v>
      </c>
      <c r="C1077" t="s">
        <v>210</v>
      </c>
      <c r="D1077" t="s">
        <v>211</v>
      </c>
      <c r="E1077" t="s">
        <v>1490</v>
      </c>
      <c r="F1077" t="s">
        <v>76</v>
      </c>
      <c r="G1077" t="s">
        <v>1502</v>
      </c>
      <c r="H1077">
        <v>1585205</v>
      </c>
      <c r="I1077" t="s">
        <v>214</v>
      </c>
      <c r="J1077" s="14">
        <v>45589</v>
      </c>
      <c r="K1077" t="s">
        <v>1492</v>
      </c>
      <c r="L1077" t="e">
        <f>VLOOKUP(H1077,Sheet1!H:H,1,0)</f>
        <v>#N/A</v>
      </c>
    </row>
    <row r="1078" spans="1:12">
      <c r="A1078" t="s">
        <v>1471</v>
      </c>
      <c r="B1078" t="s">
        <v>286</v>
      </c>
      <c r="C1078" t="s">
        <v>210</v>
      </c>
      <c r="D1078" t="s">
        <v>287</v>
      </c>
      <c r="E1078" t="s">
        <v>1479</v>
      </c>
      <c r="F1078" t="s">
        <v>76</v>
      </c>
      <c r="G1078" t="s">
        <v>1503</v>
      </c>
      <c r="H1078">
        <v>1292905</v>
      </c>
      <c r="I1078" t="s">
        <v>488</v>
      </c>
      <c r="J1078" s="14">
        <v>42401</v>
      </c>
      <c r="K1078" t="s">
        <v>1481</v>
      </c>
      <c r="L1078" t="e">
        <f>VLOOKUP(H1078,Sheet1!H:H,1,0)</f>
        <v>#N/A</v>
      </c>
    </row>
    <row r="1079" spans="1:12">
      <c r="A1079" t="s">
        <v>1471</v>
      </c>
      <c r="B1079" t="s">
        <v>293</v>
      </c>
      <c r="C1079" t="s">
        <v>210</v>
      </c>
      <c r="D1079" t="s">
        <v>211</v>
      </c>
      <c r="E1079" t="s">
        <v>1504</v>
      </c>
      <c r="F1079" t="s">
        <v>77</v>
      </c>
      <c r="G1079" t="s">
        <v>1505</v>
      </c>
      <c r="H1079">
        <v>1597905</v>
      </c>
      <c r="I1079" t="s">
        <v>214</v>
      </c>
      <c r="J1079" s="14">
        <v>45768</v>
      </c>
      <c r="K1079" t="s">
        <v>1506</v>
      </c>
      <c r="L1079" t="e">
        <f>VLOOKUP(H1079,Sheet1!H:H,1,0)</f>
        <v>#N/A</v>
      </c>
    </row>
    <row r="1080" spans="1:12">
      <c r="A1080" t="s">
        <v>1471</v>
      </c>
      <c r="B1080" t="s">
        <v>293</v>
      </c>
      <c r="C1080" t="s">
        <v>210</v>
      </c>
      <c r="D1080" t="s">
        <v>211</v>
      </c>
      <c r="E1080" t="s">
        <v>1504</v>
      </c>
      <c r="F1080" t="s">
        <v>77</v>
      </c>
      <c r="G1080" t="s">
        <v>1507</v>
      </c>
      <c r="H1080">
        <v>1385305</v>
      </c>
      <c r="I1080" t="s">
        <v>222</v>
      </c>
      <c r="J1080" s="14">
        <v>44728</v>
      </c>
      <c r="K1080" t="s">
        <v>1506</v>
      </c>
      <c r="L1080" t="e">
        <f>VLOOKUP(H1080,Sheet1!H:H,1,0)</f>
        <v>#N/A</v>
      </c>
    </row>
    <row r="1081" spans="1:12">
      <c r="A1081" t="s">
        <v>1471</v>
      </c>
      <c r="B1081" t="s">
        <v>293</v>
      </c>
      <c r="C1081" t="s">
        <v>210</v>
      </c>
      <c r="D1081" t="s">
        <v>211</v>
      </c>
      <c r="E1081" t="s">
        <v>1504</v>
      </c>
      <c r="F1081" t="s">
        <v>77</v>
      </c>
      <c r="G1081" t="s">
        <v>1508</v>
      </c>
      <c r="H1081">
        <v>1627305</v>
      </c>
      <c r="I1081" t="s">
        <v>214</v>
      </c>
      <c r="J1081" s="14">
        <v>46083</v>
      </c>
      <c r="K1081" t="s">
        <v>1506</v>
      </c>
      <c r="L1081" t="e">
        <f>VLOOKUP(H1081,Sheet1!H:H,1,0)</f>
        <v>#N/A</v>
      </c>
    </row>
    <row r="1082" spans="1:12">
      <c r="A1082" t="s">
        <v>1471</v>
      </c>
      <c r="B1082" t="s">
        <v>293</v>
      </c>
      <c r="C1082" t="s">
        <v>210</v>
      </c>
      <c r="D1082" t="s">
        <v>287</v>
      </c>
      <c r="E1082" t="s">
        <v>1479</v>
      </c>
      <c r="F1082" t="s">
        <v>77</v>
      </c>
      <c r="G1082" t="s">
        <v>1509</v>
      </c>
      <c r="H1082">
        <v>1566005</v>
      </c>
      <c r="I1082" t="s">
        <v>290</v>
      </c>
      <c r="J1082" s="14">
        <v>45413</v>
      </c>
      <c r="K1082" t="s">
        <v>1481</v>
      </c>
      <c r="L1082" t="e">
        <f>VLOOKUP(H1082,Sheet1!H:H,1,0)</f>
        <v>#N/A</v>
      </c>
    </row>
    <row r="1083" spans="1:12">
      <c r="A1083" t="s">
        <v>1471</v>
      </c>
      <c r="B1083" t="s">
        <v>293</v>
      </c>
      <c r="C1083" t="s">
        <v>210</v>
      </c>
      <c r="D1083" t="s">
        <v>211</v>
      </c>
      <c r="E1083" t="s">
        <v>1504</v>
      </c>
      <c r="F1083" t="s">
        <v>77</v>
      </c>
      <c r="G1083" t="s">
        <v>1510</v>
      </c>
      <c r="H1083">
        <v>1555505</v>
      </c>
      <c r="I1083" t="s">
        <v>220</v>
      </c>
      <c r="J1083" s="14">
        <v>45246</v>
      </c>
      <c r="K1083" t="s">
        <v>1506</v>
      </c>
      <c r="L1083" t="e">
        <f>VLOOKUP(H1083,Sheet1!H:H,1,0)</f>
        <v>#N/A</v>
      </c>
    </row>
    <row r="1084" spans="1:12">
      <c r="A1084" t="s">
        <v>1471</v>
      </c>
      <c r="B1084" t="s">
        <v>293</v>
      </c>
      <c r="C1084" t="s">
        <v>210</v>
      </c>
      <c r="D1084" t="s">
        <v>211</v>
      </c>
      <c r="E1084" t="s">
        <v>1479</v>
      </c>
      <c r="F1084" t="s">
        <v>77</v>
      </c>
      <c r="G1084" t="s">
        <v>1506</v>
      </c>
      <c r="H1084">
        <v>1309305</v>
      </c>
      <c r="I1084" t="s">
        <v>225</v>
      </c>
      <c r="J1084" s="14">
        <v>42479</v>
      </c>
      <c r="K1084" t="s">
        <v>1481</v>
      </c>
      <c r="L1084" t="e">
        <f>VLOOKUP(H1084,Sheet1!H:H,1,0)</f>
        <v>#N/A</v>
      </c>
    </row>
    <row r="1085" spans="1:12">
      <c r="A1085" t="s">
        <v>1471</v>
      </c>
      <c r="B1085" t="s">
        <v>293</v>
      </c>
      <c r="C1085" t="s">
        <v>210</v>
      </c>
      <c r="D1085" t="s">
        <v>211</v>
      </c>
      <c r="E1085" t="s">
        <v>1504</v>
      </c>
      <c r="F1085" t="s">
        <v>77</v>
      </c>
      <c r="G1085" t="s">
        <v>1511</v>
      </c>
      <c r="H1085">
        <v>1494705</v>
      </c>
      <c r="I1085" t="s">
        <v>243</v>
      </c>
      <c r="J1085" s="14">
        <v>44713</v>
      </c>
      <c r="K1085" t="s">
        <v>1506</v>
      </c>
      <c r="L1085" t="e">
        <f>VLOOKUP(H1085,Sheet1!H:H,1,0)</f>
        <v>#N/A</v>
      </c>
    </row>
    <row r="1086" spans="1:12">
      <c r="A1086" t="s">
        <v>1471</v>
      </c>
      <c r="B1086" t="s">
        <v>293</v>
      </c>
      <c r="C1086" t="s">
        <v>210</v>
      </c>
      <c r="D1086" t="s">
        <v>211</v>
      </c>
      <c r="E1086" t="s">
        <v>1504</v>
      </c>
      <c r="F1086" t="s">
        <v>77</v>
      </c>
      <c r="G1086" t="s">
        <v>1512</v>
      </c>
      <c r="H1086">
        <v>1514305</v>
      </c>
      <c r="I1086" t="s">
        <v>214</v>
      </c>
      <c r="J1086" s="14">
        <v>44866</v>
      </c>
      <c r="K1086" t="s">
        <v>1506</v>
      </c>
      <c r="L1086" t="e">
        <f>VLOOKUP(H1086,Sheet1!H:H,1,0)</f>
        <v>#N/A</v>
      </c>
    </row>
    <row r="1087" spans="1:12">
      <c r="A1087" t="s">
        <v>1471</v>
      </c>
      <c r="B1087" t="s">
        <v>293</v>
      </c>
      <c r="C1087" t="s">
        <v>210</v>
      </c>
      <c r="D1087" t="s">
        <v>211</v>
      </c>
      <c r="E1087" t="s">
        <v>1504</v>
      </c>
      <c r="F1087" t="s">
        <v>77</v>
      </c>
      <c r="G1087" t="s">
        <v>1513</v>
      </c>
      <c r="H1087">
        <v>1619505</v>
      </c>
      <c r="I1087" t="s">
        <v>214</v>
      </c>
      <c r="J1087" s="14">
        <v>45978</v>
      </c>
      <c r="K1087" t="s">
        <v>1506</v>
      </c>
      <c r="L1087" t="e">
        <f>VLOOKUP(H1087,Sheet1!H:H,1,0)</f>
        <v>#N/A</v>
      </c>
    </row>
    <row r="1088" spans="1:12">
      <c r="A1088" t="s">
        <v>1471</v>
      </c>
      <c r="B1088" t="s">
        <v>293</v>
      </c>
      <c r="C1088" t="s">
        <v>210</v>
      </c>
      <c r="D1088" t="s">
        <v>287</v>
      </c>
      <c r="E1088" t="s">
        <v>1479</v>
      </c>
      <c r="F1088" t="s">
        <v>77</v>
      </c>
      <c r="G1088" t="s">
        <v>1514</v>
      </c>
      <c r="H1088">
        <v>1557405</v>
      </c>
      <c r="I1088" t="s">
        <v>297</v>
      </c>
      <c r="J1088" s="14">
        <v>45320</v>
      </c>
      <c r="K1088" t="s">
        <v>1481</v>
      </c>
      <c r="L1088" t="e">
        <f>VLOOKUP(H1088,Sheet1!H:H,1,0)</f>
        <v>#N/A</v>
      </c>
    </row>
    <row r="1089" spans="1:12">
      <c r="A1089" t="s">
        <v>1471</v>
      </c>
      <c r="B1089" t="s">
        <v>293</v>
      </c>
      <c r="C1089" t="s">
        <v>210</v>
      </c>
      <c r="D1089" t="s">
        <v>211</v>
      </c>
      <c r="E1089" t="s">
        <v>1504</v>
      </c>
      <c r="F1089" t="s">
        <v>77</v>
      </c>
      <c r="G1089" t="s">
        <v>1515</v>
      </c>
      <c r="H1089">
        <v>1462805</v>
      </c>
      <c r="I1089" t="s">
        <v>214</v>
      </c>
      <c r="J1089" s="14">
        <v>45754</v>
      </c>
      <c r="K1089" t="s">
        <v>1506</v>
      </c>
      <c r="L1089" t="e">
        <f>VLOOKUP(H1089,Sheet1!H:H,1,0)</f>
        <v>#N/A</v>
      </c>
    </row>
    <row r="1090" spans="1:12">
      <c r="A1090" t="s">
        <v>1471</v>
      </c>
      <c r="B1090" t="s">
        <v>293</v>
      </c>
      <c r="C1090" t="s">
        <v>210</v>
      </c>
      <c r="D1090" t="s">
        <v>287</v>
      </c>
      <c r="E1090" t="s">
        <v>1479</v>
      </c>
      <c r="F1090" t="s">
        <v>77</v>
      </c>
      <c r="G1090" t="s">
        <v>1516</v>
      </c>
      <c r="H1090">
        <v>1377605</v>
      </c>
      <c r="I1090" t="s">
        <v>488</v>
      </c>
      <c r="J1090" s="14">
        <v>43005</v>
      </c>
      <c r="K1090" t="s">
        <v>1481</v>
      </c>
      <c r="L1090" t="e">
        <f>VLOOKUP(H1090,Sheet1!H:H,1,0)</f>
        <v>#N/A</v>
      </c>
    </row>
    <row r="1091" spans="1:12">
      <c r="A1091" t="s">
        <v>1471</v>
      </c>
      <c r="B1091" t="s">
        <v>293</v>
      </c>
      <c r="C1091" t="s">
        <v>210</v>
      </c>
      <c r="D1091" t="s">
        <v>211</v>
      </c>
      <c r="E1091" t="s">
        <v>1504</v>
      </c>
      <c r="F1091" t="s">
        <v>77</v>
      </c>
      <c r="G1091" t="s">
        <v>1517</v>
      </c>
      <c r="H1091">
        <v>1553105</v>
      </c>
      <c r="I1091" t="s">
        <v>214</v>
      </c>
      <c r="J1091" s="14">
        <v>45231</v>
      </c>
      <c r="K1091" t="s">
        <v>1506</v>
      </c>
      <c r="L1091" t="e">
        <f>VLOOKUP(H1091,Sheet1!H:H,1,0)</f>
        <v>#N/A</v>
      </c>
    </row>
    <row r="1092" spans="1:12">
      <c r="A1092" t="s">
        <v>1471</v>
      </c>
      <c r="B1092" t="s">
        <v>293</v>
      </c>
      <c r="C1092" t="s">
        <v>210</v>
      </c>
      <c r="D1092" t="s">
        <v>211</v>
      </c>
      <c r="E1092" t="s">
        <v>1504</v>
      </c>
      <c r="F1092" t="s">
        <v>77</v>
      </c>
      <c r="G1092" t="s">
        <v>1518</v>
      </c>
      <c r="H1092">
        <v>1520205</v>
      </c>
      <c r="I1092" t="s">
        <v>214</v>
      </c>
      <c r="J1092" s="14">
        <v>44884</v>
      </c>
      <c r="K1092" t="s">
        <v>1506</v>
      </c>
      <c r="L1092" t="e">
        <f>VLOOKUP(H1092,Sheet1!H:H,1,0)</f>
        <v>#N/A</v>
      </c>
    </row>
    <row r="1093" spans="1:12">
      <c r="A1093" t="s">
        <v>1471</v>
      </c>
      <c r="B1093" t="s">
        <v>293</v>
      </c>
      <c r="C1093" t="s">
        <v>210</v>
      </c>
      <c r="D1093" t="s">
        <v>211</v>
      </c>
      <c r="E1093" t="s">
        <v>1504</v>
      </c>
      <c r="F1093" t="s">
        <v>77</v>
      </c>
      <c r="G1093" t="s">
        <v>1519</v>
      </c>
      <c r="H1093">
        <v>1588805</v>
      </c>
      <c r="I1093" t="s">
        <v>214</v>
      </c>
      <c r="J1093" s="14">
        <v>45600</v>
      </c>
      <c r="K1093" t="s">
        <v>1506</v>
      </c>
      <c r="L1093" t="e">
        <f>VLOOKUP(H1093,Sheet1!H:H,1,0)</f>
        <v>#N/A</v>
      </c>
    </row>
    <row r="1094" spans="1:12">
      <c r="A1094" t="s">
        <v>1471</v>
      </c>
      <c r="B1094" t="s">
        <v>324</v>
      </c>
      <c r="C1094" t="s">
        <v>210</v>
      </c>
      <c r="D1094" t="s">
        <v>211</v>
      </c>
      <c r="E1094" t="s">
        <v>1520</v>
      </c>
      <c r="F1094" t="s">
        <v>78</v>
      </c>
      <c r="G1094" t="s">
        <v>1521</v>
      </c>
      <c r="H1094">
        <v>1551205</v>
      </c>
      <c r="I1094" t="s">
        <v>214</v>
      </c>
      <c r="J1094" s="14">
        <v>45231</v>
      </c>
      <c r="K1094" t="s">
        <v>1522</v>
      </c>
      <c r="L1094" t="e">
        <f>VLOOKUP(H1094,Sheet1!H:H,1,0)</f>
        <v>#N/A</v>
      </c>
    </row>
    <row r="1095" spans="1:12">
      <c r="A1095" t="s">
        <v>1471</v>
      </c>
      <c r="B1095" t="s">
        <v>324</v>
      </c>
      <c r="C1095" t="s">
        <v>210</v>
      </c>
      <c r="D1095" t="s">
        <v>211</v>
      </c>
      <c r="E1095" t="s">
        <v>1520</v>
      </c>
      <c r="F1095" t="s">
        <v>78</v>
      </c>
      <c r="G1095" t="s">
        <v>1523</v>
      </c>
      <c r="H1095">
        <v>1501405</v>
      </c>
      <c r="I1095" t="s">
        <v>240</v>
      </c>
      <c r="J1095" s="14">
        <v>45063</v>
      </c>
      <c r="K1095" t="s">
        <v>1522</v>
      </c>
      <c r="L1095" t="e">
        <f>VLOOKUP(H1095,Sheet1!H:H,1,0)</f>
        <v>#N/A</v>
      </c>
    </row>
    <row r="1096" spans="1:12">
      <c r="A1096" t="s">
        <v>1471</v>
      </c>
      <c r="B1096" t="s">
        <v>324</v>
      </c>
      <c r="C1096" t="s">
        <v>210</v>
      </c>
      <c r="D1096" t="s">
        <v>211</v>
      </c>
      <c r="E1096" t="s">
        <v>1520</v>
      </c>
      <c r="F1096" t="s">
        <v>78</v>
      </c>
      <c r="G1096" t="s">
        <v>1524</v>
      </c>
      <c r="H1096">
        <v>1385405</v>
      </c>
      <c r="I1096" t="s">
        <v>458</v>
      </c>
      <c r="J1096" s="14">
        <v>43055</v>
      </c>
      <c r="K1096" t="s">
        <v>1522</v>
      </c>
      <c r="L1096" t="e">
        <f>VLOOKUP(H1096,Sheet1!H:H,1,0)</f>
        <v>#N/A</v>
      </c>
    </row>
    <row r="1097" spans="1:12">
      <c r="A1097" t="s">
        <v>1471</v>
      </c>
      <c r="B1097" t="s">
        <v>324</v>
      </c>
      <c r="C1097" t="s">
        <v>210</v>
      </c>
      <c r="D1097" t="s">
        <v>211</v>
      </c>
      <c r="E1097" t="s">
        <v>1520</v>
      </c>
      <c r="F1097" t="s">
        <v>78</v>
      </c>
      <c r="G1097" t="s">
        <v>1525</v>
      </c>
      <c r="H1097">
        <v>1565905</v>
      </c>
      <c r="I1097" t="s">
        <v>214</v>
      </c>
      <c r="J1097" s="14">
        <v>45413</v>
      </c>
      <c r="K1097" t="s">
        <v>1522</v>
      </c>
      <c r="L1097" t="e">
        <f>VLOOKUP(H1097,Sheet1!H:H,1,0)</f>
        <v>#N/A</v>
      </c>
    </row>
    <row r="1098" spans="1:12">
      <c r="A1098" t="s">
        <v>1471</v>
      </c>
      <c r="B1098" t="s">
        <v>324</v>
      </c>
      <c r="C1098" t="s">
        <v>210</v>
      </c>
      <c r="D1098" t="s">
        <v>211</v>
      </c>
      <c r="E1098" t="s">
        <v>1520</v>
      </c>
      <c r="F1098" t="s">
        <v>78</v>
      </c>
      <c r="G1098" t="s">
        <v>1526</v>
      </c>
      <c r="H1098">
        <v>1574005</v>
      </c>
      <c r="I1098" t="s">
        <v>220</v>
      </c>
      <c r="J1098" s="14">
        <v>45502</v>
      </c>
      <c r="K1098" t="s">
        <v>1522</v>
      </c>
      <c r="L1098" t="e">
        <f>VLOOKUP(H1098,Sheet1!H:H,1,0)</f>
        <v>#N/A</v>
      </c>
    </row>
    <row r="1099" spans="1:12">
      <c r="A1099" t="s">
        <v>1471</v>
      </c>
      <c r="B1099" t="s">
        <v>324</v>
      </c>
      <c r="C1099" t="s">
        <v>210</v>
      </c>
      <c r="D1099" t="s">
        <v>211</v>
      </c>
      <c r="E1099" t="s">
        <v>1520</v>
      </c>
      <c r="F1099" t="s">
        <v>78</v>
      </c>
      <c r="G1099" t="s">
        <v>1527</v>
      </c>
      <c r="H1099">
        <v>1539805</v>
      </c>
      <c r="I1099" t="s">
        <v>422</v>
      </c>
      <c r="J1099" s="14">
        <v>45173</v>
      </c>
      <c r="K1099" t="s">
        <v>1522</v>
      </c>
      <c r="L1099" t="e">
        <f>VLOOKUP(H1099,Sheet1!H:H,1,0)</f>
        <v>#N/A</v>
      </c>
    </row>
    <row r="1100" spans="1:12">
      <c r="A1100" t="s">
        <v>1471</v>
      </c>
      <c r="B1100" t="s">
        <v>324</v>
      </c>
      <c r="C1100" t="s">
        <v>210</v>
      </c>
      <c r="D1100" t="s">
        <v>211</v>
      </c>
      <c r="E1100" t="s">
        <v>1520</v>
      </c>
      <c r="F1100" t="s">
        <v>78</v>
      </c>
      <c r="G1100" t="s">
        <v>1528</v>
      </c>
      <c r="H1100">
        <v>1553205</v>
      </c>
      <c r="I1100" t="s">
        <v>214</v>
      </c>
      <c r="J1100" s="14">
        <v>45985</v>
      </c>
      <c r="K1100" t="s">
        <v>1522</v>
      </c>
      <c r="L1100" t="e">
        <f>VLOOKUP(H1100,Sheet1!H:H,1,0)</f>
        <v>#N/A</v>
      </c>
    </row>
    <row r="1101" spans="1:12">
      <c r="A1101" t="s">
        <v>1471</v>
      </c>
      <c r="B1101" t="s">
        <v>324</v>
      </c>
      <c r="C1101" t="s">
        <v>210</v>
      </c>
      <c r="D1101" t="s">
        <v>211</v>
      </c>
      <c r="E1101" t="s">
        <v>1520</v>
      </c>
      <c r="F1101" t="s">
        <v>78</v>
      </c>
      <c r="G1101" t="s">
        <v>1529</v>
      </c>
      <c r="H1101">
        <v>1602905</v>
      </c>
      <c r="I1101" t="s">
        <v>220</v>
      </c>
      <c r="J1101" s="14">
        <v>45824</v>
      </c>
      <c r="K1101" t="s">
        <v>1522</v>
      </c>
      <c r="L1101" t="e">
        <f>VLOOKUP(H1101,Sheet1!H:H,1,0)</f>
        <v>#N/A</v>
      </c>
    </row>
    <row r="1102" spans="1:12">
      <c r="A1102" t="s">
        <v>1471</v>
      </c>
      <c r="B1102" t="s">
        <v>324</v>
      </c>
      <c r="C1102" t="s">
        <v>210</v>
      </c>
      <c r="D1102" t="s">
        <v>211</v>
      </c>
      <c r="E1102" t="s">
        <v>1520</v>
      </c>
      <c r="F1102" t="s">
        <v>78</v>
      </c>
      <c r="G1102" t="s">
        <v>1530</v>
      </c>
      <c r="H1102">
        <v>1376205</v>
      </c>
      <c r="I1102" t="s">
        <v>617</v>
      </c>
      <c r="J1102" s="14">
        <v>42989</v>
      </c>
      <c r="K1102" t="s">
        <v>1522</v>
      </c>
      <c r="L1102" t="e">
        <f>VLOOKUP(H1102,Sheet1!H:H,1,0)</f>
        <v>#N/A</v>
      </c>
    </row>
    <row r="1103" spans="1:12">
      <c r="A1103" t="s">
        <v>1471</v>
      </c>
      <c r="B1103" t="s">
        <v>324</v>
      </c>
      <c r="C1103" t="s">
        <v>210</v>
      </c>
      <c r="D1103" t="s">
        <v>211</v>
      </c>
      <c r="E1103" t="s">
        <v>1520</v>
      </c>
      <c r="F1103" t="s">
        <v>78</v>
      </c>
      <c r="G1103" t="s">
        <v>1531</v>
      </c>
      <c r="H1103">
        <v>1469505</v>
      </c>
      <c r="I1103" t="s">
        <v>333</v>
      </c>
      <c r="J1103" s="14">
        <v>44410</v>
      </c>
      <c r="K1103" t="s">
        <v>1522</v>
      </c>
      <c r="L1103" t="e">
        <f>VLOOKUP(H1103,Sheet1!H:H,1,0)</f>
        <v>#N/A</v>
      </c>
    </row>
    <row r="1104" spans="1:12">
      <c r="A1104" t="s">
        <v>1471</v>
      </c>
      <c r="B1104" t="s">
        <v>324</v>
      </c>
      <c r="C1104" t="s">
        <v>210</v>
      </c>
      <c r="D1104" t="s">
        <v>211</v>
      </c>
      <c r="E1104" t="s">
        <v>1520</v>
      </c>
      <c r="F1104" t="s">
        <v>78</v>
      </c>
      <c r="G1104" t="s">
        <v>1532</v>
      </c>
      <c r="H1104">
        <v>1627205</v>
      </c>
      <c r="I1104" t="s">
        <v>214</v>
      </c>
      <c r="J1104" s="14">
        <v>46083</v>
      </c>
      <c r="K1104" t="s">
        <v>1522</v>
      </c>
      <c r="L1104" t="e">
        <f>VLOOKUP(H1104,Sheet1!H:H,1,0)</f>
        <v>#N/A</v>
      </c>
    </row>
    <row r="1105" spans="1:12">
      <c r="A1105" t="s">
        <v>1471</v>
      </c>
      <c r="B1105" t="s">
        <v>324</v>
      </c>
      <c r="C1105" t="s">
        <v>210</v>
      </c>
      <c r="D1105" t="s">
        <v>211</v>
      </c>
      <c r="E1105" t="s">
        <v>1520</v>
      </c>
      <c r="F1105" t="s">
        <v>78</v>
      </c>
      <c r="G1105" t="s">
        <v>1533</v>
      </c>
      <c r="H1105">
        <v>1598005</v>
      </c>
      <c r="I1105" t="s">
        <v>214</v>
      </c>
      <c r="J1105" s="14">
        <v>45768</v>
      </c>
      <c r="K1105" t="s">
        <v>1522</v>
      </c>
      <c r="L1105" t="e">
        <f>VLOOKUP(H1105,Sheet1!H:H,1,0)</f>
        <v>#N/A</v>
      </c>
    </row>
    <row r="1106" spans="1:12">
      <c r="A1106" t="s">
        <v>1471</v>
      </c>
      <c r="B1106" t="s">
        <v>324</v>
      </c>
      <c r="C1106" t="s">
        <v>210</v>
      </c>
      <c r="D1106" t="s">
        <v>287</v>
      </c>
      <c r="E1106" t="s">
        <v>1479</v>
      </c>
      <c r="F1106" t="s">
        <v>78</v>
      </c>
      <c r="G1106" t="s">
        <v>1534</v>
      </c>
      <c r="H1106">
        <v>1595405</v>
      </c>
      <c r="I1106" t="s">
        <v>316</v>
      </c>
      <c r="J1106" s="14">
        <v>45733</v>
      </c>
      <c r="K1106" t="s">
        <v>1481</v>
      </c>
      <c r="L1106" t="e">
        <f>VLOOKUP(H1106,Sheet1!H:H,1,0)</f>
        <v>#N/A</v>
      </c>
    </row>
    <row r="1107" spans="1:12">
      <c r="A1107" t="s">
        <v>1471</v>
      </c>
      <c r="B1107" t="s">
        <v>324</v>
      </c>
      <c r="C1107" t="s">
        <v>210</v>
      </c>
      <c r="D1107" t="s">
        <v>211</v>
      </c>
      <c r="E1107" t="s">
        <v>1520</v>
      </c>
      <c r="F1107" t="s">
        <v>78</v>
      </c>
      <c r="G1107" t="s">
        <v>1535</v>
      </c>
      <c r="H1107">
        <v>1604405</v>
      </c>
      <c r="I1107" t="s">
        <v>214</v>
      </c>
      <c r="J1107" s="14">
        <v>45847</v>
      </c>
      <c r="K1107" t="s">
        <v>1522</v>
      </c>
      <c r="L1107" t="e">
        <f>VLOOKUP(H1107,Sheet1!H:H,1,0)</f>
        <v>#N/A</v>
      </c>
    </row>
    <row r="1108" spans="1:12">
      <c r="A1108" t="s">
        <v>1471</v>
      </c>
      <c r="B1108" t="s">
        <v>324</v>
      </c>
      <c r="C1108" t="s">
        <v>210</v>
      </c>
      <c r="D1108" t="s">
        <v>211</v>
      </c>
      <c r="E1108" t="s">
        <v>1520</v>
      </c>
      <c r="F1108" t="s">
        <v>78</v>
      </c>
      <c r="G1108" t="s">
        <v>1536</v>
      </c>
      <c r="H1108">
        <v>1474505</v>
      </c>
      <c r="I1108" t="s">
        <v>1173</v>
      </c>
      <c r="J1108" s="14">
        <v>44473</v>
      </c>
      <c r="K1108" t="s">
        <v>1522</v>
      </c>
      <c r="L1108" t="e">
        <f>VLOOKUP(H1108,Sheet1!H:H,1,0)</f>
        <v>#N/A</v>
      </c>
    </row>
    <row r="1109" spans="1:12">
      <c r="A1109" t="s">
        <v>1471</v>
      </c>
      <c r="B1109" t="s">
        <v>324</v>
      </c>
      <c r="C1109" t="s">
        <v>210</v>
      </c>
      <c r="D1109" t="s">
        <v>211</v>
      </c>
      <c r="E1109" t="s">
        <v>1479</v>
      </c>
      <c r="F1109" t="s">
        <v>78</v>
      </c>
      <c r="G1109" t="s">
        <v>1522</v>
      </c>
      <c r="H1109">
        <v>1318305</v>
      </c>
      <c r="I1109" t="s">
        <v>465</v>
      </c>
      <c r="J1109" s="14">
        <v>42518</v>
      </c>
      <c r="K1109" t="s">
        <v>1481</v>
      </c>
      <c r="L1109" t="e">
        <f>VLOOKUP(H1109,Sheet1!H:H,1,0)</f>
        <v>#N/A</v>
      </c>
    </row>
    <row r="1110" spans="1:12">
      <c r="A1110" t="s">
        <v>1471</v>
      </c>
      <c r="B1110" t="s">
        <v>324</v>
      </c>
      <c r="C1110" t="s">
        <v>210</v>
      </c>
      <c r="D1110" t="s">
        <v>211</v>
      </c>
      <c r="E1110" t="s">
        <v>1520</v>
      </c>
      <c r="F1110" t="s">
        <v>78</v>
      </c>
      <c r="G1110" t="s">
        <v>1537</v>
      </c>
      <c r="H1110">
        <v>1590205</v>
      </c>
      <c r="I1110" t="s">
        <v>214</v>
      </c>
      <c r="J1110" s="14">
        <v>45614</v>
      </c>
      <c r="K1110" t="s">
        <v>1522</v>
      </c>
      <c r="L1110" t="e">
        <f>VLOOKUP(H1110,Sheet1!H:H,1,0)</f>
        <v>#N/A</v>
      </c>
    </row>
    <row r="1111" spans="1:12">
      <c r="A1111" t="s">
        <v>1471</v>
      </c>
      <c r="B1111" t="s">
        <v>324</v>
      </c>
      <c r="C1111" t="s">
        <v>210</v>
      </c>
      <c r="D1111" t="s">
        <v>211</v>
      </c>
      <c r="E1111" t="s">
        <v>1520</v>
      </c>
      <c r="F1111" t="s">
        <v>78</v>
      </c>
      <c r="G1111" t="s">
        <v>1538</v>
      </c>
      <c r="H1111">
        <v>1621005</v>
      </c>
      <c r="I1111" t="s">
        <v>220</v>
      </c>
      <c r="J1111" s="14">
        <v>45985</v>
      </c>
      <c r="K1111" t="s">
        <v>1522</v>
      </c>
      <c r="L1111" t="e">
        <f>VLOOKUP(H1111,Sheet1!H:H,1,0)</f>
        <v>#N/A</v>
      </c>
    </row>
    <row r="1112" spans="1:12">
      <c r="A1112" t="s">
        <v>1471</v>
      </c>
      <c r="B1112" t="s">
        <v>324</v>
      </c>
      <c r="C1112" t="s">
        <v>210</v>
      </c>
      <c r="D1112" t="s">
        <v>211</v>
      </c>
      <c r="E1112" t="s">
        <v>1520</v>
      </c>
      <c r="F1112" t="s">
        <v>78</v>
      </c>
      <c r="G1112" t="s">
        <v>1539</v>
      </c>
      <c r="H1112">
        <v>1619705</v>
      </c>
      <c r="I1112" t="s">
        <v>214</v>
      </c>
      <c r="J1112" s="14">
        <v>45978</v>
      </c>
      <c r="K1112" t="s">
        <v>1522</v>
      </c>
      <c r="L1112" t="e">
        <f>VLOOKUP(H1112,Sheet1!H:H,1,0)</f>
        <v>#N/A</v>
      </c>
    </row>
    <row r="1113" spans="1:12">
      <c r="A1113" t="s">
        <v>1471</v>
      </c>
      <c r="B1113" t="s">
        <v>324</v>
      </c>
      <c r="C1113" t="s">
        <v>210</v>
      </c>
      <c r="D1113" t="s">
        <v>211</v>
      </c>
      <c r="E1113" t="s">
        <v>1520</v>
      </c>
      <c r="F1113" t="s">
        <v>78</v>
      </c>
      <c r="G1113" t="s">
        <v>1540</v>
      </c>
      <c r="H1113">
        <v>1592105</v>
      </c>
      <c r="I1113" t="s">
        <v>214</v>
      </c>
      <c r="J1113" s="14">
        <v>45614</v>
      </c>
      <c r="K1113" t="s">
        <v>1522</v>
      </c>
      <c r="L1113" t="e">
        <f>VLOOKUP(H1113,Sheet1!H:H,1,0)</f>
        <v>#N/A</v>
      </c>
    </row>
    <row r="1114" spans="1:12">
      <c r="A1114" t="s">
        <v>1471</v>
      </c>
      <c r="B1114" t="s">
        <v>324</v>
      </c>
      <c r="C1114" t="s">
        <v>210</v>
      </c>
      <c r="D1114" t="s">
        <v>287</v>
      </c>
      <c r="E1114" t="s">
        <v>1479</v>
      </c>
      <c r="F1114" t="s">
        <v>78</v>
      </c>
      <c r="G1114" t="s">
        <v>1541</v>
      </c>
      <c r="H1114">
        <v>1624605</v>
      </c>
      <c r="I1114" t="s">
        <v>688</v>
      </c>
      <c r="J1114" s="14">
        <v>46006</v>
      </c>
      <c r="K1114" t="s">
        <v>1481</v>
      </c>
      <c r="L1114" t="e">
        <f>VLOOKUP(H1114,Sheet1!H:H,1,0)</f>
        <v>#N/A</v>
      </c>
    </row>
    <row r="1115" spans="1:12">
      <c r="A1115" t="s">
        <v>1471</v>
      </c>
      <c r="B1115" t="s">
        <v>324</v>
      </c>
      <c r="C1115" t="s">
        <v>210</v>
      </c>
      <c r="D1115" t="s">
        <v>211</v>
      </c>
      <c r="E1115" t="s">
        <v>1520</v>
      </c>
      <c r="F1115" t="s">
        <v>78</v>
      </c>
      <c r="G1115" t="s">
        <v>1542</v>
      </c>
      <c r="H1115">
        <v>1590405</v>
      </c>
      <c r="I1115" t="s">
        <v>214</v>
      </c>
      <c r="J1115" s="14">
        <v>45678</v>
      </c>
      <c r="K1115" t="s">
        <v>1522</v>
      </c>
      <c r="L1115" t="e">
        <f>VLOOKUP(H1115,Sheet1!H:H,1,0)</f>
        <v>#N/A</v>
      </c>
    </row>
    <row r="1116" spans="1:12">
      <c r="A1116" t="s">
        <v>1471</v>
      </c>
      <c r="B1116" t="s">
        <v>324</v>
      </c>
      <c r="C1116" t="s">
        <v>210</v>
      </c>
      <c r="D1116" t="s">
        <v>211</v>
      </c>
      <c r="E1116" t="s">
        <v>1520</v>
      </c>
      <c r="F1116" t="s">
        <v>78</v>
      </c>
      <c r="G1116" t="s">
        <v>1543</v>
      </c>
      <c r="H1116">
        <v>1621505</v>
      </c>
      <c r="I1116" t="s">
        <v>214</v>
      </c>
      <c r="J1116" s="14">
        <v>46083</v>
      </c>
      <c r="K1116" t="s">
        <v>1522</v>
      </c>
      <c r="L1116" t="e">
        <f>VLOOKUP(H1116,Sheet1!H:H,1,0)</f>
        <v>#N/A</v>
      </c>
    </row>
    <row r="1117" spans="1:12">
      <c r="A1117" t="s">
        <v>1471</v>
      </c>
      <c r="B1117" t="s">
        <v>324</v>
      </c>
      <c r="C1117" t="s">
        <v>210</v>
      </c>
      <c r="D1117" t="s">
        <v>211</v>
      </c>
      <c r="E1117" t="s">
        <v>1520</v>
      </c>
      <c r="F1117" t="s">
        <v>78</v>
      </c>
      <c r="G1117" t="s">
        <v>1544</v>
      </c>
      <c r="H1117">
        <v>1620205</v>
      </c>
      <c r="I1117" t="s">
        <v>214</v>
      </c>
      <c r="J1117" s="14">
        <v>45978</v>
      </c>
      <c r="K1117" t="s">
        <v>1522</v>
      </c>
      <c r="L1117" t="e">
        <f>VLOOKUP(H1117,Sheet1!H:H,1,0)</f>
        <v>#N/A</v>
      </c>
    </row>
    <row r="1118" spans="1:12">
      <c r="A1118" t="s">
        <v>1471</v>
      </c>
      <c r="B1118" t="s">
        <v>324</v>
      </c>
      <c r="C1118" t="s">
        <v>210</v>
      </c>
      <c r="D1118" t="s">
        <v>211</v>
      </c>
      <c r="E1118" t="s">
        <v>1520</v>
      </c>
      <c r="F1118" t="s">
        <v>78</v>
      </c>
      <c r="G1118" t="s">
        <v>1545</v>
      </c>
      <c r="H1118">
        <v>1550805</v>
      </c>
      <c r="I1118" t="s">
        <v>424</v>
      </c>
      <c r="J1118" s="14">
        <v>45231</v>
      </c>
      <c r="K1118" t="s">
        <v>1522</v>
      </c>
      <c r="L1118" t="e">
        <f>VLOOKUP(H1118,Sheet1!H:H,1,0)</f>
        <v>#N/A</v>
      </c>
    </row>
    <row r="1119" spans="1:12">
      <c r="A1119" t="s">
        <v>1471</v>
      </c>
      <c r="B1119" t="s">
        <v>324</v>
      </c>
      <c r="C1119" t="s">
        <v>210</v>
      </c>
      <c r="D1119" t="s">
        <v>211</v>
      </c>
      <c r="E1119" t="s">
        <v>1520</v>
      </c>
      <c r="F1119" t="s">
        <v>78</v>
      </c>
      <c r="G1119" t="s">
        <v>1546</v>
      </c>
      <c r="H1119">
        <v>1493605</v>
      </c>
      <c r="I1119" t="s">
        <v>424</v>
      </c>
      <c r="J1119" s="14">
        <v>44690</v>
      </c>
      <c r="K1119" t="s">
        <v>1522</v>
      </c>
      <c r="L1119" t="e">
        <f>VLOOKUP(H1119,Sheet1!H:H,1,0)</f>
        <v>#N/A</v>
      </c>
    </row>
    <row r="1120" spans="1:12">
      <c r="A1120" t="s">
        <v>1471</v>
      </c>
      <c r="B1120" t="s">
        <v>324</v>
      </c>
      <c r="C1120" t="s">
        <v>429</v>
      </c>
      <c r="D1120" t="s">
        <v>211</v>
      </c>
      <c r="E1120" t="s">
        <v>1520</v>
      </c>
      <c r="F1120" t="s">
        <v>78</v>
      </c>
      <c r="G1120" t="s">
        <v>1547</v>
      </c>
      <c r="H1120">
        <v>1498905</v>
      </c>
      <c r="I1120" t="s">
        <v>575</v>
      </c>
      <c r="J1120" s="14">
        <v>44758</v>
      </c>
      <c r="K1120" t="s">
        <v>1522</v>
      </c>
      <c r="L1120" t="e">
        <f>VLOOKUP(H1120,Sheet1!H:H,1,0)</f>
        <v>#N/A</v>
      </c>
    </row>
    <row r="1121" spans="1:12">
      <c r="A1121" t="s">
        <v>1471</v>
      </c>
      <c r="B1121" t="s">
        <v>324</v>
      </c>
      <c r="C1121" t="s">
        <v>210</v>
      </c>
      <c r="D1121" t="s">
        <v>211</v>
      </c>
      <c r="E1121" t="s">
        <v>1520</v>
      </c>
      <c r="F1121" t="s">
        <v>78</v>
      </c>
      <c r="G1121" t="s">
        <v>1548</v>
      </c>
      <c r="H1121">
        <v>1517905</v>
      </c>
      <c r="I1121" t="s">
        <v>214</v>
      </c>
      <c r="J1121" s="14">
        <v>45566</v>
      </c>
      <c r="K1121" t="s">
        <v>1522</v>
      </c>
      <c r="L1121" t="e">
        <f>VLOOKUP(H1121,Sheet1!H:H,1,0)</f>
        <v>#N/A</v>
      </c>
    </row>
    <row r="1122" spans="1:12">
      <c r="A1122" t="s">
        <v>1471</v>
      </c>
      <c r="B1122" t="s">
        <v>324</v>
      </c>
      <c r="C1122" t="s">
        <v>210</v>
      </c>
      <c r="D1122" t="s">
        <v>287</v>
      </c>
      <c r="E1122" t="s">
        <v>1479</v>
      </c>
      <c r="F1122" t="s">
        <v>78</v>
      </c>
      <c r="G1122" t="s">
        <v>1549</v>
      </c>
      <c r="H1122">
        <v>1595505</v>
      </c>
      <c r="I1122" t="s">
        <v>316</v>
      </c>
      <c r="J1122" s="14">
        <v>45733</v>
      </c>
      <c r="K1122" t="s">
        <v>1481</v>
      </c>
      <c r="L1122" t="e">
        <f>VLOOKUP(H1122,Sheet1!H:H,1,0)</f>
        <v>#N/A</v>
      </c>
    </row>
    <row r="1123" spans="1:12">
      <c r="A1123" t="s">
        <v>1471</v>
      </c>
      <c r="B1123" t="s">
        <v>324</v>
      </c>
      <c r="C1123" t="s">
        <v>210</v>
      </c>
      <c r="D1123" t="s">
        <v>211</v>
      </c>
      <c r="E1123" t="s">
        <v>1520</v>
      </c>
      <c r="F1123" t="s">
        <v>78</v>
      </c>
      <c r="G1123" t="s">
        <v>1550</v>
      </c>
      <c r="H1123">
        <v>1490105</v>
      </c>
      <c r="I1123" t="s">
        <v>333</v>
      </c>
      <c r="J1123" s="14">
        <v>44648</v>
      </c>
      <c r="K1123" t="s">
        <v>1522</v>
      </c>
      <c r="L1123" t="e">
        <f>VLOOKUP(H1123,Sheet1!H:H,1,0)</f>
        <v>#N/A</v>
      </c>
    </row>
    <row r="1124" spans="1:12">
      <c r="A1124" t="s">
        <v>1471</v>
      </c>
      <c r="B1124" t="s">
        <v>324</v>
      </c>
      <c r="C1124" t="s">
        <v>210</v>
      </c>
      <c r="D1124" t="s">
        <v>287</v>
      </c>
      <c r="E1124" t="s">
        <v>1479</v>
      </c>
      <c r="F1124" t="s">
        <v>78</v>
      </c>
      <c r="G1124" t="s">
        <v>1551</v>
      </c>
      <c r="H1124">
        <v>1532905</v>
      </c>
      <c r="I1124" t="s">
        <v>510</v>
      </c>
      <c r="J1124" s="14">
        <v>45093</v>
      </c>
      <c r="K1124" t="s">
        <v>1481</v>
      </c>
      <c r="L1124" t="e">
        <f>VLOOKUP(H1124,Sheet1!H:H,1,0)</f>
        <v>#N/A</v>
      </c>
    </row>
    <row r="1125" spans="1:12">
      <c r="A1125" t="s">
        <v>1471</v>
      </c>
      <c r="B1125" t="s">
        <v>324</v>
      </c>
      <c r="C1125" t="s">
        <v>210</v>
      </c>
      <c r="D1125" t="s">
        <v>211</v>
      </c>
      <c r="E1125" t="s">
        <v>1520</v>
      </c>
      <c r="F1125" t="s">
        <v>78</v>
      </c>
      <c r="G1125" t="s">
        <v>1552</v>
      </c>
      <c r="H1125">
        <v>1466505</v>
      </c>
      <c r="I1125" t="s">
        <v>214</v>
      </c>
      <c r="J1125" s="14">
        <v>45460</v>
      </c>
      <c r="K1125" t="s">
        <v>1522</v>
      </c>
      <c r="L1125" t="e">
        <f>VLOOKUP(H1125,Sheet1!H:H,1,0)</f>
        <v>#N/A</v>
      </c>
    </row>
    <row r="1126" spans="1:12">
      <c r="A1126" t="s">
        <v>1471</v>
      </c>
      <c r="B1126" t="s">
        <v>324</v>
      </c>
      <c r="C1126" t="s">
        <v>210</v>
      </c>
      <c r="D1126" t="s">
        <v>211</v>
      </c>
      <c r="E1126" t="s">
        <v>1520</v>
      </c>
      <c r="F1126" t="s">
        <v>78</v>
      </c>
      <c r="G1126" t="s">
        <v>1553</v>
      </c>
      <c r="H1126">
        <v>1588305</v>
      </c>
      <c r="I1126" t="s">
        <v>214</v>
      </c>
      <c r="J1126" s="14">
        <v>45600</v>
      </c>
      <c r="K1126" t="s">
        <v>1522</v>
      </c>
      <c r="L1126" t="e">
        <f>VLOOKUP(H1126,Sheet1!H:H,1,0)</f>
        <v>#N/A</v>
      </c>
    </row>
    <row r="1127" spans="1:12">
      <c r="A1127" t="s">
        <v>1471</v>
      </c>
      <c r="B1127" t="s">
        <v>324</v>
      </c>
      <c r="C1127" t="s">
        <v>210</v>
      </c>
      <c r="D1127" t="s">
        <v>211</v>
      </c>
      <c r="E1127" t="s">
        <v>1520</v>
      </c>
      <c r="F1127" t="s">
        <v>78</v>
      </c>
      <c r="G1127" t="s">
        <v>1554</v>
      </c>
      <c r="H1127">
        <v>1607405</v>
      </c>
      <c r="I1127" t="s">
        <v>220</v>
      </c>
      <c r="J1127" s="14">
        <v>45901</v>
      </c>
      <c r="K1127" t="s">
        <v>1522</v>
      </c>
      <c r="L1127" t="e">
        <f>VLOOKUP(H1127,Sheet1!H:H,1,0)</f>
        <v>#N/A</v>
      </c>
    </row>
    <row r="1128" spans="1:12">
      <c r="A1128" t="s">
        <v>1471</v>
      </c>
      <c r="B1128" t="s">
        <v>324</v>
      </c>
      <c r="C1128" t="s">
        <v>210</v>
      </c>
      <c r="D1128" t="s">
        <v>211</v>
      </c>
      <c r="E1128" t="s">
        <v>1520</v>
      </c>
      <c r="F1128" t="s">
        <v>78</v>
      </c>
      <c r="G1128" t="s">
        <v>1555</v>
      </c>
      <c r="H1128">
        <v>1599605</v>
      </c>
      <c r="I1128" t="s">
        <v>220</v>
      </c>
      <c r="J1128" s="14">
        <v>45796</v>
      </c>
      <c r="K1128" t="s">
        <v>1522</v>
      </c>
      <c r="L1128" t="e">
        <f>VLOOKUP(H1128,Sheet1!H:H,1,0)</f>
        <v>#N/A</v>
      </c>
    </row>
    <row r="1129" spans="1:12">
      <c r="A1129" t="s">
        <v>1471</v>
      </c>
      <c r="B1129" t="s">
        <v>324</v>
      </c>
      <c r="C1129" t="s">
        <v>210</v>
      </c>
      <c r="D1129" t="s">
        <v>211</v>
      </c>
      <c r="E1129" t="s">
        <v>1520</v>
      </c>
      <c r="F1129" t="s">
        <v>78</v>
      </c>
      <c r="G1129" t="s">
        <v>1556</v>
      </c>
      <c r="H1129">
        <v>1627905</v>
      </c>
      <c r="I1129" t="s">
        <v>220</v>
      </c>
      <c r="J1129" s="14">
        <v>46097</v>
      </c>
      <c r="K1129" t="s">
        <v>1522</v>
      </c>
      <c r="L1129" t="e">
        <f>VLOOKUP(H1129,Sheet1!H:H,1,0)</f>
        <v>#N/A</v>
      </c>
    </row>
    <row r="1130" spans="1:12">
      <c r="A1130" t="s">
        <v>1471</v>
      </c>
      <c r="B1130" t="s">
        <v>324</v>
      </c>
      <c r="C1130" t="s">
        <v>210</v>
      </c>
      <c r="D1130" t="s">
        <v>211</v>
      </c>
      <c r="E1130" t="s">
        <v>1520</v>
      </c>
      <c r="F1130" t="s">
        <v>78</v>
      </c>
      <c r="G1130" t="s">
        <v>1557</v>
      </c>
      <c r="H1130">
        <v>1492405</v>
      </c>
      <c r="I1130" t="s">
        <v>214</v>
      </c>
      <c r="J1130" s="14">
        <v>44683</v>
      </c>
      <c r="K1130" t="s">
        <v>1522</v>
      </c>
      <c r="L1130" t="e">
        <f>VLOOKUP(H1130,Sheet1!H:H,1,0)</f>
        <v>#N/A</v>
      </c>
    </row>
    <row r="1131" spans="1:12">
      <c r="A1131" t="s">
        <v>1471</v>
      </c>
      <c r="B1131" t="s">
        <v>324</v>
      </c>
      <c r="C1131" t="s">
        <v>210</v>
      </c>
      <c r="D1131" t="s">
        <v>287</v>
      </c>
      <c r="E1131" t="s">
        <v>1479</v>
      </c>
      <c r="F1131" t="s">
        <v>78</v>
      </c>
      <c r="G1131" t="s">
        <v>1558</v>
      </c>
      <c r="H1131">
        <v>1627805</v>
      </c>
      <c r="I1131" t="s">
        <v>308</v>
      </c>
      <c r="J1131" s="14">
        <v>46097</v>
      </c>
      <c r="K1131" t="s">
        <v>1481</v>
      </c>
      <c r="L1131" t="e">
        <f>VLOOKUP(H1131,Sheet1!H:H,1,0)</f>
        <v>#N/A</v>
      </c>
    </row>
    <row r="1132" spans="1:12">
      <c r="A1132" t="s">
        <v>1471</v>
      </c>
      <c r="B1132" t="s">
        <v>324</v>
      </c>
      <c r="C1132" t="s">
        <v>210</v>
      </c>
      <c r="D1132" t="s">
        <v>287</v>
      </c>
      <c r="E1132" t="s">
        <v>1479</v>
      </c>
      <c r="F1132" t="s">
        <v>78</v>
      </c>
      <c r="G1132" t="s">
        <v>1481</v>
      </c>
      <c r="H1132">
        <v>1253205</v>
      </c>
      <c r="I1132" t="s">
        <v>475</v>
      </c>
      <c r="J1132" s="14">
        <v>44728</v>
      </c>
      <c r="K1132" t="s">
        <v>1481</v>
      </c>
      <c r="L1132" t="e">
        <f>VLOOKUP(H1132,Sheet1!H:H,1,0)</f>
        <v>#N/A</v>
      </c>
    </row>
    <row r="1133" spans="1:12">
      <c r="A1133" t="s">
        <v>1471</v>
      </c>
      <c r="B1133" t="s">
        <v>324</v>
      </c>
      <c r="C1133" t="s">
        <v>210</v>
      </c>
      <c r="D1133" t="s">
        <v>211</v>
      </c>
      <c r="E1133" t="s">
        <v>1520</v>
      </c>
      <c r="F1133" t="s">
        <v>78</v>
      </c>
      <c r="G1133" t="s">
        <v>1559</v>
      </c>
      <c r="H1133">
        <v>1442105</v>
      </c>
      <c r="I1133" t="s">
        <v>422</v>
      </c>
      <c r="J1133" s="14">
        <v>44621</v>
      </c>
      <c r="K1133" t="s">
        <v>1522</v>
      </c>
      <c r="L1133" t="e">
        <f>VLOOKUP(H1133,Sheet1!H:H,1,0)</f>
        <v>#N/A</v>
      </c>
    </row>
    <row r="1134" spans="1:12">
      <c r="A1134" t="s">
        <v>1471</v>
      </c>
      <c r="B1134" t="s">
        <v>324</v>
      </c>
      <c r="C1134" t="s">
        <v>210</v>
      </c>
      <c r="D1134" t="s">
        <v>211</v>
      </c>
      <c r="E1134" t="s">
        <v>1520</v>
      </c>
      <c r="F1134" t="s">
        <v>78</v>
      </c>
      <c r="G1134" t="s">
        <v>1560</v>
      </c>
      <c r="H1134">
        <v>1545805</v>
      </c>
      <c r="I1134" t="s">
        <v>214</v>
      </c>
      <c r="J1134" s="14">
        <v>45202</v>
      </c>
      <c r="K1134" t="s">
        <v>1522</v>
      </c>
      <c r="L1134" t="e">
        <f>VLOOKUP(H1134,Sheet1!H:H,1,0)</f>
        <v>#N/A</v>
      </c>
    </row>
    <row r="1135" spans="1:12">
      <c r="A1135" t="s">
        <v>1471</v>
      </c>
      <c r="B1135" t="s">
        <v>324</v>
      </c>
      <c r="C1135" t="s">
        <v>210</v>
      </c>
      <c r="D1135" t="s">
        <v>211</v>
      </c>
      <c r="E1135" t="s">
        <v>1520</v>
      </c>
      <c r="F1135" t="s">
        <v>78</v>
      </c>
      <c r="G1135" t="s">
        <v>1561</v>
      </c>
      <c r="H1135">
        <v>1617605</v>
      </c>
      <c r="I1135" t="s">
        <v>214</v>
      </c>
      <c r="J1135" s="14">
        <v>45964</v>
      </c>
      <c r="K1135" t="s">
        <v>1522</v>
      </c>
      <c r="L1135" t="e">
        <f>VLOOKUP(H1135,Sheet1!H:H,1,0)</f>
        <v>#N/A</v>
      </c>
    </row>
    <row r="1136" spans="1:12">
      <c r="A1136" t="s">
        <v>1471</v>
      </c>
      <c r="B1136" t="s">
        <v>324</v>
      </c>
      <c r="C1136" t="s">
        <v>210</v>
      </c>
      <c r="D1136" t="s">
        <v>211</v>
      </c>
      <c r="E1136" t="s">
        <v>1520</v>
      </c>
      <c r="F1136" t="s">
        <v>78</v>
      </c>
      <c r="G1136" t="s">
        <v>1562</v>
      </c>
      <c r="H1136">
        <v>1620305</v>
      </c>
      <c r="I1136" t="s">
        <v>214</v>
      </c>
      <c r="J1136" s="14">
        <v>45978</v>
      </c>
      <c r="K1136" t="s">
        <v>1522</v>
      </c>
      <c r="L1136" t="e">
        <f>VLOOKUP(H1136,Sheet1!H:H,1,0)</f>
        <v>#N/A</v>
      </c>
    </row>
    <row r="1137" spans="1:12">
      <c r="A1137" t="s">
        <v>1471</v>
      </c>
      <c r="B1137" t="s">
        <v>324</v>
      </c>
      <c r="C1137" t="s">
        <v>210</v>
      </c>
      <c r="D1137" t="s">
        <v>211</v>
      </c>
      <c r="E1137" t="s">
        <v>1520</v>
      </c>
      <c r="F1137" t="s">
        <v>78</v>
      </c>
      <c r="G1137" t="s">
        <v>1563</v>
      </c>
      <c r="H1137">
        <v>1600905</v>
      </c>
      <c r="I1137" t="s">
        <v>214</v>
      </c>
      <c r="J1137" s="14">
        <v>45978</v>
      </c>
      <c r="K1137" t="s">
        <v>1522</v>
      </c>
      <c r="L1137" t="e">
        <f>VLOOKUP(H1137,Sheet1!H:H,1,0)</f>
        <v>#N/A</v>
      </c>
    </row>
    <row r="1138" spans="1:12">
      <c r="A1138" t="s">
        <v>1471</v>
      </c>
      <c r="B1138" t="s">
        <v>324</v>
      </c>
      <c r="C1138" t="s">
        <v>210</v>
      </c>
      <c r="D1138" t="s">
        <v>211</v>
      </c>
      <c r="E1138" t="s">
        <v>1520</v>
      </c>
      <c r="F1138" t="s">
        <v>78</v>
      </c>
      <c r="G1138" t="s">
        <v>1564</v>
      </c>
      <c r="H1138">
        <v>1450205</v>
      </c>
      <c r="I1138" t="s">
        <v>890</v>
      </c>
      <c r="J1138" s="14">
        <v>44136</v>
      </c>
      <c r="K1138" t="s">
        <v>1522</v>
      </c>
      <c r="L1138" t="e">
        <f>VLOOKUP(H1138,Sheet1!H:H,1,0)</f>
        <v>#N/A</v>
      </c>
    </row>
  </sheetData>
  <autoFilter ref="A1:L1138" xr:uid="{EA0C18C9-EC0A-4003-8D0C-D24EB31B2E3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8c23c5-8515-42ee-a07e-4bccbc61e4db}" enabled="1" method="Standard" siteId="{096ca591-44a7-42f5-9eaf-8e32ff9534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Osiris Moran Cuellar</cp:lastModifiedBy>
  <cp:revision/>
  <dcterms:created xsi:type="dcterms:W3CDTF">2026-03-30T22:48:21Z</dcterms:created>
  <dcterms:modified xsi:type="dcterms:W3CDTF">2026-04-08T04:23:58Z</dcterms:modified>
  <cp:category/>
  <cp:contentStatus/>
</cp:coreProperties>
</file>